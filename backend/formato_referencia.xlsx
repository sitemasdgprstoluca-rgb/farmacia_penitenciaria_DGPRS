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edico\Documents\DOCUMENTOS DEL DMYP 180523\ALMACEN\LATA ANUAL\LIC 25\"/>
    </mc:Choice>
  </mc:AlternateContent>
  <xr:revisionPtr revIDLastSave="0" documentId="8_{43723C10-2FED-4706-8EBB-A9B159D3AFD4}" xr6:coauthVersionLast="36" xr6:coauthVersionMax="36" xr10:uidLastSave="{00000000-0000-0000-0000-000000000000}"/>
  <bookViews>
    <workbookView xWindow="0" yWindow="0" windowWidth="28800" windowHeight="12225" xr2:uid="{0D7F8771-905B-478A-9826-5CF9DBA5DC3A}"/>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79" i="1" l="1"/>
  <c r="H277" i="1"/>
  <c r="H276" i="1"/>
  <c r="H274" i="1"/>
  <c r="H272" i="1"/>
  <c r="H271" i="1"/>
  <c r="H269" i="1"/>
  <c r="H267" i="1"/>
  <c r="H265" i="1"/>
  <c r="H263" i="1"/>
  <c r="H261" i="1"/>
  <c r="H259" i="1"/>
  <c r="H257" i="1"/>
  <c r="H255" i="1"/>
  <c r="H253" i="1"/>
  <c r="H251" i="1"/>
  <c r="H250" i="1"/>
  <c r="H248" i="1"/>
  <c r="H246" i="1"/>
  <c r="H244" i="1"/>
  <c r="H242" i="1"/>
  <c r="H240" i="1"/>
  <c r="H238" i="1"/>
  <c r="H237" i="1"/>
  <c r="H235" i="1"/>
  <c r="H234" i="1"/>
  <c r="H232" i="1"/>
  <c r="H230" i="1"/>
  <c r="H229" i="1"/>
  <c r="H227" i="1"/>
  <c r="H226" i="1"/>
  <c r="H224" i="1"/>
  <c r="H222" i="1"/>
  <c r="H220" i="1"/>
  <c r="H219" i="1"/>
  <c r="H217" i="1"/>
  <c r="H215" i="1"/>
  <c r="H213" i="1"/>
  <c r="H211" i="1"/>
  <c r="H209" i="1"/>
  <c r="H208" i="1"/>
  <c r="H206" i="1"/>
  <c r="H205" i="1"/>
  <c r="H203" i="1"/>
  <c r="H202" i="1"/>
  <c r="H201" i="1"/>
  <c r="H200" i="1"/>
  <c r="H199" i="1"/>
  <c r="H198" i="1"/>
  <c r="H197" i="1"/>
  <c r="H196" i="1"/>
  <c r="H194" i="1"/>
  <c r="H193" i="1"/>
  <c r="H191" i="1"/>
  <c r="H189" i="1"/>
  <c r="H188" i="1"/>
  <c r="H186" i="1"/>
  <c r="H185" i="1"/>
  <c r="H183" i="1"/>
  <c r="H181" i="1"/>
  <c r="H180" i="1"/>
  <c r="H178" i="1"/>
  <c r="H176" i="1"/>
  <c r="H175" i="1"/>
  <c r="H173" i="1"/>
  <c r="H172" i="1"/>
  <c r="H170" i="1"/>
  <c r="H169" i="1"/>
  <c r="H167" i="1"/>
  <c r="H166" i="1"/>
  <c r="H165" i="1"/>
  <c r="H163" i="1"/>
  <c r="H161" i="1"/>
  <c r="H159" i="1"/>
  <c r="H158" i="1"/>
  <c r="H157" i="1"/>
  <c r="H155" i="1"/>
  <c r="H153" i="1"/>
  <c r="H151" i="1"/>
  <c r="H150" i="1"/>
  <c r="H149" i="1"/>
  <c r="H147" i="1"/>
  <c r="H146" i="1"/>
  <c r="H144" i="1"/>
  <c r="H143" i="1"/>
  <c r="H142" i="1"/>
  <c r="H140" i="1"/>
  <c r="H139" i="1"/>
  <c r="H138" i="1"/>
  <c r="H136" i="1"/>
  <c r="H134" i="1"/>
  <c r="H132" i="1"/>
  <c r="H130" i="1"/>
  <c r="H128" i="1"/>
  <c r="H126" i="1"/>
  <c r="H124" i="1"/>
  <c r="H123" i="1"/>
  <c r="H121" i="1"/>
  <c r="H119" i="1"/>
  <c r="H118" i="1"/>
  <c r="H117" i="1"/>
  <c r="H115" i="1"/>
  <c r="H114" i="1"/>
  <c r="H112" i="1"/>
  <c r="H111" i="1"/>
  <c r="H109" i="1"/>
  <c r="H108" i="1"/>
  <c r="H107" i="1"/>
  <c r="H106" i="1"/>
  <c r="H104" i="1"/>
  <c r="H100" i="1"/>
  <c r="H98" i="1"/>
  <c r="H96" i="1"/>
  <c r="H95" i="1"/>
  <c r="H94" i="1"/>
  <c r="H92" i="1"/>
  <c r="H91" i="1"/>
  <c r="H89" i="1"/>
  <c r="H87" i="1"/>
  <c r="H85" i="1"/>
  <c r="H83" i="1"/>
  <c r="H82" i="1"/>
  <c r="H80" i="1"/>
  <c r="H79" i="1"/>
  <c r="H78" i="1"/>
  <c r="H76" i="1"/>
  <c r="H74" i="1"/>
  <c r="H73" i="1"/>
  <c r="H72" i="1"/>
  <c r="H71" i="1"/>
  <c r="H69" i="1"/>
  <c r="H67" i="1"/>
  <c r="H66" i="1"/>
  <c r="H64" i="1"/>
  <c r="H63" i="1"/>
  <c r="H62" i="1"/>
  <c r="H60" i="1"/>
  <c r="H58" i="1"/>
  <c r="H56" i="1"/>
  <c r="H55" i="1"/>
  <c r="H54" i="1"/>
  <c r="H53" i="1"/>
  <c r="H52" i="1"/>
  <c r="H51" i="1"/>
  <c r="H49" i="1"/>
  <c r="H47" i="1"/>
  <c r="H46" i="1"/>
  <c r="H45" i="1"/>
  <c r="H44" i="1"/>
  <c r="H42" i="1"/>
  <c r="H41" i="1"/>
  <c r="H40" i="1"/>
  <c r="H38" i="1"/>
  <c r="H36" i="1"/>
  <c r="H34" i="1"/>
  <c r="H32" i="1"/>
  <c r="H31" i="1"/>
  <c r="H30" i="1"/>
  <c r="H28" i="1"/>
  <c r="H27" i="1"/>
  <c r="H25" i="1"/>
  <c r="H23" i="1"/>
  <c r="H22" i="1"/>
  <c r="H20" i="1"/>
  <c r="H19" i="1"/>
  <c r="H17" i="1"/>
  <c r="H15" i="1"/>
  <c r="H14" i="1"/>
  <c r="H13" i="1"/>
  <c r="H11" i="1"/>
  <c r="H10" i="1"/>
  <c r="H8" i="1"/>
  <c r="H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Medico</author>
    <author>ACER</author>
  </authors>
  <commentList>
    <comment ref="B6" authorId="0" shapeId="0" xr:uid="{CFADB179-6CA8-4D0B-B8F7-3198810ABFE7}">
      <text>
        <r>
          <rPr>
            <b/>
            <sz val="9"/>
            <color indexed="81"/>
            <rFont val="Tahoma"/>
            <family val="2"/>
          </rPr>
          <t>Medico:</t>
        </r>
        <r>
          <rPr>
            <sz val="9"/>
            <color indexed="81"/>
            <rFont val="Tahoma"/>
            <family val="2"/>
          </rPr>
          <t xml:space="preserve">
clave de los 3 ultimos digitos del contrato </t>
        </r>
      </text>
    </comment>
    <comment ref="D38" authorId="0" shapeId="0" xr:uid="{6E4AD1DA-9490-408F-A8FB-DCFEC14F1146}">
      <text>
        <r>
          <rPr>
            <b/>
            <sz val="9"/>
            <color indexed="81"/>
            <rFont val="Tahoma"/>
            <family val="2"/>
          </rPr>
          <t>Medico:</t>
        </r>
        <r>
          <rPr>
            <sz val="9"/>
            <color indexed="81"/>
            <rFont val="Tahoma"/>
            <family val="2"/>
          </rPr>
          <t xml:space="preserve">
HAY OTRO LOTE</t>
        </r>
      </text>
    </comment>
    <comment ref="J89" authorId="0" shapeId="0" xr:uid="{4FF3CF6D-66E1-48FB-833C-49C986B4A9B5}">
      <text>
        <r>
          <rPr>
            <b/>
            <sz val="9"/>
            <color indexed="81"/>
            <rFont val="Tahoma"/>
            <family val="2"/>
          </rPr>
          <t>Medico:</t>
        </r>
        <r>
          <rPr>
            <sz val="9"/>
            <color indexed="81"/>
            <rFont val="Tahoma"/>
            <family val="2"/>
          </rPr>
          <t xml:space="preserve">
FALTAN 10</t>
        </r>
      </text>
    </comment>
    <comment ref="G261" authorId="1" shapeId="0" xr:uid="{C0D79B8E-D9B3-4E6A-AD07-7096C3B2B22A}">
      <text>
        <r>
          <rPr>
            <b/>
            <sz val="9"/>
            <color indexed="81"/>
            <rFont val="Tahoma"/>
            <family val="2"/>
          </rPr>
          <t>ACER:</t>
        </r>
        <r>
          <rPr>
            <sz val="9"/>
            <color indexed="81"/>
            <rFont val="Tahoma"/>
            <family val="2"/>
          </rPr>
          <t xml:space="preserve">
CAJA CON 30 TABLETAS</t>
        </r>
      </text>
    </comment>
  </commentList>
</comments>
</file>

<file path=xl/sharedStrings.xml><?xml version="1.0" encoding="utf-8"?>
<sst xmlns="http://schemas.openxmlformats.org/spreadsheetml/2006/main" count="918" uniqueCount="493">
  <si>
    <t>Folio:_____________________</t>
  </si>
  <si>
    <t>CONTROL DE INVENTARIOS DEL ALMACÉN CENTRAL DE MEDICAMENTOS</t>
  </si>
  <si>
    <t>NO. PARTIDA</t>
  </si>
  <si>
    <t>CLAVE</t>
  </si>
  <si>
    <t>ARTÍCULO</t>
  </si>
  <si>
    <t>LOTE</t>
  </si>
  <si>
    <t xml:space="preserve">NOMBRE COMERCIAL O GENÉRICO </t>
  </si>
  <si>
    <t>CONCENTRACIÓN</t>
  </si>
  <si>
    <t xml:space="preserve">PRESENTACIÓN </t>
  </si>
  <si>
    <t>MESES</t>
  </si>
  <si>
    <t>VENCIMIENTO (SEMAFORIZACIÓN) / FECHA DE CADUCIDAD</t>
  </si>
  <si>
    <t>CANTIDAD</t>
  </si>
  <si>
    <t>FECHA DE INGRESO</t>
  </si>
  <si>
    <t>FECHA DE SALIDA (ULTIMA)</t>
  </si>
  <si>
    <t>EVIDENCIA FOTOGRAFICA</t>
  </si>
  <si>
    <t>KETOCONAZOL /CLINDAMICINA</t>
  </si>
  <si>
    <t>FEMITAB</t>
  </si>
  <si>
    <t>400 MILIGRAMOS/ 100 MILIGRAMOS</t>
  </si>
  <si>
    <t xml:space="preserve">  CAJA CON 7 OVULOS</t>
  </si>
  <si>
    <t>Evidencia fotografica\Fotos concentrado\PARTIDA 1 Lote 25103022.jpeg</t>
  </si>
  <si>
    <t>Evidencia fotografica\Fotos concentrado\PARTIDA 1 Lote 25072052.jpeg</t>
  </si>
  <si>
    <t xml:space="preserve">AMOXICILINA / CLAVULANATO DE POTASIO </t>
  </si>
  <si>
    <t>ACARBIXIN (GIMACLAV)</t>
  </si>
  <si>
    <t xml:space="preserve"> 875 MILIGRAMOS/125 MILIGRAMOS</t>
  </si>
  <si>
    <t xml:space="preserve">   CAJA CON 10 TABLETAS</t>
  </si>
  <si>
    <t>Evidencia fotografica\Fotos concentrado\PARTIDA 2 Lote 24240630.jpeg</t>
  </si>
  <si>
    <t>B2507316</t>
  </si>
  <si>
    <t>ACARBIXIN</t>
  </si>
  <si>
    <t>Evidencia fotografica\Fotos concentrado\PARTIDA 2 Lote B2507316.jpeg</t>
  </si>
  <si>
    <t xml:space="preserve">AMOXICILINA </t>
  </si>
  <si>
    <t>Q0425226</t>
  </si>
  <si>
    <t>GENERICO</t>
  </si>
  <si>
    <t>500 MILIGRAMOS</t>
  </si>
  <si>
    <t xml:space="preserve">  CAJA CON 12 CAPSULAS</t>
  </si>
  <si>
    <t>Evidencia fotografica\Fotos concentrado\PARTIDA 3 ÑLote Q0425226.jpeg</t>
  </si>
  <si>
    <t>Q0325187</t>
  </si>
  <si>
    <t>Evidencia fotografica\Fotos concentrado\PARTIDA 3 Lote Q0325187.jpeg</t>
  </si>
  <si>
    <t>Q0425257</t>
  </si>
  <si>
    <t>AMPICILINA</t>
  </si>
  <si>
    <t>Q0425297</t>
  </si>
  <si>
    <t xml:space="preserve">   CAJA CON 20 CAPSULAS</t>
  </si>
  <si>
    <t>Evidencia fotografica\Fotos concentrado\PARTIDA 4 Lote Q0425297.jpeg</t>
  </si>
  <si>
    <t>Q0325183</t>
  </si>
  <si>
    <t>Evidencia fotografica\Fotos concentrado\PARTIDA 4 Lote Q0325183.jpeg</t>
  </si>
  <si>
    <t>Q0425289</t>
  </si>
  <si>
    <t>CAJA CON 20 CAPSULAS</t>
  </si>
  <si>
    <t>Evidencia fotografica\Fotos concentrado\PARTIDA 4 Lote Q0425289.jpeg</t>
  </si>
  <si>
    <t>Q0525401</t>
  </si>
  <si>
    <t>Evidencia fotografica\Fotos concentrado\PARTIDA 4 Lote Q525401.jpeg</t>
  </si>
  <si>
    <t>AZITROMICINA   500 MILIGRAMOS</t>
  </si>
  <si>
    <t>CHARYN 3</t>
  </si>
  <si>
    <t xml:space="preserve">   CAJA CON 3 TABLETAS</t>
  </si>
  <si>
    <t>Evidencia fotografica\Fotos concentrado\PARTIDA 5 Lote 250595.jpeg</t>
  </si>
  <si>
    <t>Evidencia fotografica\Fotos concentrado\PARTIDA 5 Lote 250800.jpeg</t>
  </si>
  <si>
    <t>BENCILPENICILINA PROCAÍNICA 600,000 UI/BENCILPENICILINA CRISTALINA 200,000 UI</t>
  </si>
  <si>
    <t>800,000 UI</t>
  </si>
  <si>
    <t xml:space="preserve">  CAJA CON FRASCO AMPULA CON POLVO Y AMPOLLETA CON DILUYENTE DE 3 MILILITROS</t>
  </si>
  <si>
    <t>BENZATINA BENCILPENICILINA EQUIVALENTE A 1200,000 UI DE BENCILPENICILINA</t>
  </si>
  <si>
    <t>I25Y074</t>
  </si>
  <si>
    <t>1,200,000 UI</t>
  </si>
  <si>
    <t xml:space="preserve">  CAJA CON FRASCO AMPULA CON POLVO Y AMPOLLETA CON DILUYENTE DE 5 MILILITROS</t>
  </si>
  <si>
    <t>Evidencia fotografica\Fotos concentrado\PARTIDA 7 Lote I25Y074.jpeg</t>
  </si>
  <si>
    <t>I25Y073</t>
  </si>
  <si>
    <t>Evidencia fotografica\Fotos concentrado\PARTIDA 7 Lote I25Y073.jpeg</t>
  </si>
  <si>
    <t xml:space="preserve">BENZONATATO </t>
  </si>
  <si>
    <t>T0285</t>
  </si>
  <si>
    <t>PROGELBEN</t>
  </si>
  <si>
    <t>100 MILIGRAMOS</t>
  </si>
  <si>
    <t xml:space="preserve">  CAJA CON 20 PERLAS</t>
  </si>
  <si>
    <t>Evidencia fotografica\Fotos concentrado\PARTIDA 8 Lote T0285.jpeg</t>
  </si>
  <si>
    <t>T0509</t>
  </si>
  <si>
    <t>Evidencia fotografica\Fotos concentrado\PARTIDA 8 Lote T0509.jpeg</t>
  </si>
  <si>
    <t xml:space="preserve">BUTILHIOSCINA/METAMIZOL </t>
  </si>
  <si>
    <t xml:space="preserve"> 10 MILIGRAMOS/250 MILIGRAMOS</t>
  </si>
  <si>
    <t xml:space="preserve">  CAJA CON 36 GRAGEAS</t>
  </si>
  <si>
    <t>CARBOCISTEÍNA  JARABE ADULTO</t>
  </si>
  <si>
    <t>CULMINAX</t>
  </si>
  <si>
    <t>75 MILIGRAMOS</t>
  </si>
  <si>
    <t xml:space="preserve">    CAJA CON FRASCO CON 150 MILILITROS</t>
  </si>
  <si>
    <t>Evidencia fotografica\Fotos concentrado\PARTIDA 10 Lote 254541.jpeg</t>
  </si>
  <si>
    <t>CIANOCOBALAMINA (VITAMINA B12) 1 MILIGRAMO, DICLOFENACO 50 MILIGRAMOS, PIRIDOXINA (VITAMINA B6) 50 MILIGRAMOS,  TIAMINA (VITAMINA B1) 50 MILIGRAMOS</t>
  </si>
  <si>
    <t>5BM291A</t>
  </si>
  <si>
    <t>ARIFLAM FORTE</t>
  </si>
  <si>
    <t>CAJA CON 30 GRAGEAS</t>
  </si>
  <si>
    <t>Evidencia fotografica\Fotos concentrado\PARTIDA 11 Lote 5BM291A.jpeg</t>
  </si>
  <si>
    <t xml:space="preserve">CLONIXINATO DE LISINA </t>
  </si>
  <si>
    <t>B25M505</t>
  </si>
  <si>
    <t xml:space="preserve">  CAJA CON 5 AMPOLLETAS DE 2 MILILITROS</t>
  </si>
  <si>
    <t>Evidencia fotografica\Fotos concentrado\PARTIDA 12 Lote B25M505.jpeg</t>
  </si>
  <si>
    <t>B24T515</t>
  </si>
  <si>
    <t>Evidencia fotografica\Fotos concentrado\PARTIDA 12 Lote B24T515.jpeg</t>
  </si>
  <si>
    <t xml:space="preserve">CIPROFLOXACINO </t>
  </si>
  <si>
    <t>SDM3208</t>
  </si>
  <si>
    <t>CAJA CON 12 COMPRIMIDOS</t>
  </si>
  <si>
    <t>Evidencia fotografica\Fotos concentrado\PARTIDA 13 Lote SDM3208.jpeg</t>
  </si>
  <si>
    <t>Evidencia fotografica\Fotos concentrado\PARTIDA 13 Lote 25141899.jpeg</t>
  </si>
  <si>
    <t xml:space="preserve">CLORANFENICOL LEVOGIRO </t>
  </si>
  <si>
    <t>XC2549</t>
  </si>
  <si>
    <t xml:space="preserve">GENERICO </t>
  </si>
  <si>
    <t>5 MILIGRAMOS</t>
  </si>
  <si>
    <t xml:space="preserve">  FRASCO GOTERO CON 15 MILILITROS</t>
  </si>
  <si>
    <t>Evidencia fotografica\Fotos concentrado\PARTIDA 14 Lote XC2549.jpeg</t>
  </si>
  <si>
    <t xml:space="preserve">PARACETAMOL/CAFEINA/FENILEFRINA/CLORFENAMINA </t>
  </si>
  <si>
    <t>AJ25005</t>
  </si>
  <si>
    <t>BIOFLUSIN</t>
  </si>
  <si>
    <t>500 MILIGRAMOS/ 25 MILIGRAMOS/ 5 MILIGRAMOS/4 MILIGRAMOS</t>
  </si>
  <si>
    <t xml:space="preserve">  CAJA CON 10 TABLETAS</t>
  </si>
  <si>
    <t>Evidencia fotografica\Fotos concentrado\PARTIDA 15 Lote AJ25005.jpeg</t>
  </si>
  <si>
    <t>Evidencia fotografica\Fotos concentrado\PARTIDA 15 Lote 22771.jpeg</t>
  </si>
  <si>
    <t>Evidencia fotografica\Fotos concentrado\PARTIDA 15 Lote 19792.jpeg</t>
  </si>
  <si>
    <t>Evidencia fotografica\Fotos concentrado\PARTIDA 15 Lote 18285.jpeg</t>
  </si>
  <si>
    <t>Evidencia fotografica\Fotos concentrado\PARTIDA 15 Lote 22772.jpeg</t>
  </si>
  <si>
    <t>CLOROPIRAMINA</t>
  </si>
  <si>
    <t xml:space="preserve"> 25 MILIGRAMOS</t>
  </si>
  <si>
    <t xml:space="preserve">  EN CAJA CON 20 GRAGEAS</t>
  </si>
  <si>
    <t>Evidencia fotografica\Fotos concentrado\PARTIDA 16 Lote 197075.jpeg</t>
  </si>
  <si>
    <t>PP8061</t>
  </si>
  <si>
    <t>AVAPENA</t>
  </si>
  <si>
    <t>20 MILIGRAMOS</t>
  </si>
  <si>
    <t xml:space="preserve">  CAJA CON 5 AMPOLLETAS DE 2  MILILITROS</t>
  </si>
  <si>
    <t>Evidencia fotografica\Fotos concentrado\PARTIDA 17 Lote PP8061.jpeg</t>
  </si>
  <si>
    <t>LOPERAMIDA</t>
  </si>
  <si>
    <t>2 MILIGRAMOS</t>
  </si>
  <si>
    <t xml:space="preserve">  CAJA CON 12 TABLETAS</t>
  </si>
  <si>
    <t>Evidencia fotografica\Fotos concentrado\PARTIDA 18 Lote 5050658.jpeg</t>
  </si>
  <si>
    <t>Evidencia fotografica\Fotos concentrado\PARTIDA 18 Lote 5040554.jpeg</t>
  </si>
  <si>
    <t>BH25004</t>
  </si>
  <si>
    <t>Evidencia fotografica\Fotos concentrado\PARTIDA 18 Lote BH25004.jpeg</t>
  </si>
  <si>
    <t xml:space="preserve">OMEPRAZOL </t>
  </si>
  <si>
    <t>NOVOLEXIN</t>
  </si>
  <si>
    <t>40 MILIGRAMOS</t>
  </si>
  <si>
    <t xml:space="preserve">  CAJA CON 14 TABLETAS </t>
  </si>
  <si>
    <t>Evidencia fotografica\Fotos concentrado\PARTIDA 19 Lote 25191.jpeg</t>
  </si>
  <si>
    <t>Evidencia fotografica\Fotos concentrado\PARTIDA 19 Lote 25135.jpeg</t>
  </si>
  <si>
    <t>DICLOFENACO</t>
  </si>
  <si>
    <t xml:space="preserve"> 1 GRAMO</t>
  </si>
  <si>
    <t>CAJA CON TUBO DE 60 GRAMOS</t>
  </si>
  <si>
    <t>KETOPROFENO</t>
  </si>
  <si>
    <t>U25J399</t>
  </si>
  <si>
    <t xml:space="preserve">  CAJA CON 15 CAPSULAS</t>
  </si>
  <si>
    <t>Evidencia fotografica\Fotos concentrado\PARTIDA 21 Lote U25J399.jpeg</t>
  </si>
  <si>
    <t>U25A468</t>
  </si>
  <si>
    <t>Evidencia fotografica\Fotos concentrado\PARTIDA 21 Lote U25A468.jpeg</t>
  </si>
  <si>
    <t>U25M374</t>
  </si>
  <si>
    <t>Evidencia fotografica\Fotos concentrado\PARTIDA 21 Lote U25M374.jpeg</t>
  </si>
  <si>
    <t xml:space="preserve">DICLOXACILINA SODICA </t>
  </si>
  <si>
    <t xml:space="preserve">  CAJA CON 20 CAPSULAS</t>
  </si>
  <si>
    <t>ERITROMICINA</t>
  </si>
  <si>
    <t>BIOTRIL</t>
  </si>
  <si>
    <t>Evidencia fotografica\Fotos concentrado\PARTIDA 23 Lote 22816.jpeg</t>
  </si>
  <si>
    <t>Evidencia fotografica\Fotos concentrado\PARTIDA 23 Lote 20221 y  Lote 21842.jpeg</t>
  </si>
  <si>
    <t xml:space="preserve">FOSFATO SODICO DE DEXAMETASONA </t>
  </si>
  <si>
    <t>B25J200</t>
  </si>
  <si>
    <t>8 MILIGRAMOS/2 MILILITROS</t>
  </si>
  <si>
    <t xml:space="preserve">  CAJA CON UNA AMPOLLETA DE 2 MILILITROS</t>
  </si>
  <si>
    <t>Evidencia fotografica\Fotos concentrado\PARTIDA 24 Lote B25J200.jpeg</t>
  </si>
  <si>
    <t>B25Y506</t>
  </si>
  <si>
    <t>Evidencia fotografica\Fotos concentrado\PARTIDA 24 Lote B25Y506.jpeg</t>
  </si>
  <si>
    <t>CLINDAMICINA</t>
  </si>
  <si>
    <t>300 MILIGRAMOS</t>
  </si>
  <si>
    <t xml:space="preserve">  CAJA CON 16 CAPSULAS</t>
  </si>
  <si>
    <t xml:space="preserve">CLINDAMICINA </t>
  </si>
  <si>
    <t>1 GRAMO</t>
  </si>
  <si>
    <t>CAJA CON UN TUBO DE 30 GRAMOS</t>
  </si>
  <si>
    <t xml:space="preserve">GABAPENTINA </t>
  </si>
  <si>
    <t>WERMY</t>
  </si>
  <si>
    <t xml:space="preserve">  CAJA CON 30 CAPSULAS</t>
  </si>
  <si>
    <t>Evidencia fotografica\Fotos concentrado\PARTIDA 27 Lote 250665.jpeg</t>
  </si>
  <si>
    <t xml:space="preserve">FUROSEMIDA </t>
  </si>
  <si>
    <t xml:space="preserve">  CAJA CON 20 TABLETAS</t>
  </si>
  <si>
    <t>Evidencia fotografica\Fotos concentrado\PARTIDA 28 Lote 23037.jpeg</t>
  </si>
  <si>
    <t>Evidencia fotografica\Fotos concentrado\PARTIDA 28 Lote 23482.jpeg</t>
  </si>
  <si>
    <t>GENTAMICINA</t>
  </si>
  <si>
    <t>B25J403</t>
  </si>
  <si>
    <t>160 MILIGRAMOS</t>
  </si>
  <si>
    <t xml:space="preserve">  CAJA CON 5 AMPOLLETAS  DE 2 MILILITROS</t>
  </si>
  <si>
    <t>B25F404</t>
  </si>
  <si>
    <t>Evidencia fotografica\Fotos concentrado\PARTIDA 29 Lote B25F404.jpeg</t>
  </si>
  <si>
    <t>B247401</t>
  </si>
  <si>
    <t>Evidencia fotografica\Fotos concentrado\PARTIDA 29 Lote B24T401.jpeg</t>
  </si>
  <si>
    <t xml:space="preserve">IBUPROFENO </t>
  </si>
  <si>
    <t>ALGIDOL</t>
  </si>
  <si>
    <t>400 MILIGRAMOS</t>
  </si>
  <si>
    <t xml:space="preserve">  CAJA CON 10  CAPSULAS </t>
  </si>
  <si>
    <t>Evidencia fotografica\Fotos concentrado\PARTIDA 30 Lote 251808.jpeg</t>
  </si>
  <si>
    <t xml:space="preserve">INDOMETACINA , BETAMETASONA, METOCARBAMOL </t>
  </si>
  <si>
    <t>RUMOQUIN</t>
  </si>
  <si>
    <t>25 MILIGRAMOS/ 0,75 MG/215 MG</t>
  </si>
  <si>
    <t>Evidencia fotografica\Fotos concentrado\PARTIDA 31 Lote 224085.jpeg</t>
  </si>
  <si>
    <t>FORMULA: METOCARBAMOL 400 MILIGRAMOS/ACIDO ACETILSALICILICO 325 MILIGRAMOS, PRESENTACIÓN: CAJA CON 30 TABLETAS</t>
  </si>
  <si>
    <t>HIDROCORTISONA</t>
  </si>
  <si>
    <t>FLEBONADROL</t>
  </si>
  <si>
    <t xml:space="preserve">  CAJA CON UNA AMPULA</t>
  </si>
  <si>
    <t>Evidencia fotografica\Fotos concentrado\PARTIDA 33 Lote 2503182.jpeg</t>
  </si>
  <si>
    <t>ITRACONAZOL</t>
  </si>
  <si>
    <t>SG24300</t>
  </si>
  <si>
    <t>ZITRIASOL</t>
  </si>
  <si>
    <t xml:space="preserve">  CAJA CON 15 TABLETAS</t>
  </si>
  <si>
    <t>Evidencia fotografica\Fotos concentrado\PARTIDA 34 Lote SG24300.jpeg</t>
  </si>
  <si>
    <t>SD25104</t>
  </si>
  <si>
    <t>Evidencia fotografica\Fotos concentrado\PARTIDA 34 Lote SD25104.jpeg</t>
  </si>
  <si>
    <t>SD25101</t>
  </si>
  <si>
    <t>Evidencia fotografica\Fotos concentrado\PARTIDA 34 Lote SD25101.jpeg</t>
  </si>
  <si>
    <t>SD25071</t>
  </si>
  <si>
    <t>Evidencia fotografica\Fotos concentrado\PARTIDA 34 Lote SD25071.jpeg</t>
  </si>
  <si>
    <t xml:space="preserve">KETOROLACO </t>
  </si>
  <si>
    <t>10 MILIGRAMOS</t>
  </si>
  <si>
    <t>Evidencia fotografica\Fotos concentrado\PARTIDA 35 Lote 2502736.jpeg</t>
  </si>
  <si>
    <t>Evidencia fotografica\Fotos concentrado\PARTIDA 35 Lote 2508950.jpeg</t>
  </si>
  <si>
    <t xml:space="preserve">KETOROLACO TROMETAMINA </t>
  </si>
  <si>
    <t>25J020</t>
  </si>
  <si>
    <t>30 MILIGRAMOS</t>
  </si>
  <si>
    <t>CAJA CON 3 AMPOLLETAS DE 1 MILILITRO</t>
  </si>
  <si>
    <t>Evidencia fotografica\Fotos concentrado\PARTIDA 36 Lote 25J020.jpeg</t>
  </si>
  <si>
    <t>25Y027</t>
  </si>
  <si>
    <t>Evidencia fotografica\Fotos concentrado\PARTIDA 36 Lote 25Y027.jpeg</t>
  </si>
  <si>
    <t xml:space="preserve">TRAMADOL </t>
  </si>
  <si>
    <t>B25 J504</t>
  </si>
  <si>
    <t>CAJA CON 5 AMPOLLETAS DE 2 MILILITROS</t>
  </si>
  <si>
    <t>Evidencia fotografica\Fotos concentrado\PARTIDA 37 Lote B25J504.jpeg</t>
  </si>
  <si>
    <t>B25J505</t>
  </si>
  <si>
    <t>Evidencia fotografica\Fotos concentrado\PARTIDA 37 Lote B25J505.jpeg</t>
  </si>
  <si>
    <t>B25Y500</t>
  </si>
  <si>
    <t>Evidencia fotografica\Fotos concentrado\PARTIDA 37 Lote B25Y500.jpeg</t>
  </si>
  <si>
    <t xml:space="preserve">LINCOMICINA </t>
  </si>
  <si>
    <t>600 MILIGRAMOS</t>
  </si>
  <si>
    <t>CAJA CON 6 JERINGAS DE VIDRIO DESECHABLES PRELLENADAS DE 2 MILILITROS</t>
  </si>
  <si>
    <t xml:space="preserve">MEBENDAZOL </t>
  </si>
  <si>
    <t>EXBENZOL</t>
  </si>
  <si>
    <t>CAJA CON 6 TABLETAS</t>
  </si>
  <si>
    <t>Evidencia fotografica\Fotos concentrado\PARTIDA 39 Lote 25071953.jpeg</t>
  </si>
  <si>
    <t>Evidencia fotografica\Fotos concentrado\PARTIDA 39 Lote 25061672.jpeg</t>
  </si>
  <si>
    <t>TRAMADOL/ PARACETAMOL</t>
  </si>
  <si>
    <t>37,5 MILIGRAMOS/ 325,0 MILIGRAMOS</t>
  </si>
  <si>
    <t>CAJA CON 20 TABLETAS</t>
  </si>
  <si>
    <t xml:space="preserve">LORATADINA </t>
  </si>
  <si>
    <t>SH2524</t>
  </si>
  <si>
    <t>Evidencia fotografica\Fotos concentrado\partida 41 Lote SH524.jpeg</t>
  </si>
  <si>
    <t xml:space="preserve">AMBROXOL </t>
  </si>
  <si>
    <t>SD2509</t>
  </si>
  <si>
    <t>OXOLVAN (CLOXAN)</t>
  </si>
  <si>
    <t>Evidencia fotografica\Fotos concentrado\PARTIDA 42 Lote SD2509.jpeg</t>
  </si>
  <si>
    <t xml:space="preserve">METRONIDAZOL </t>
  </si>
  <si>
    <t>LAMBLIT</t>
  </si>
  <si>
    <t>CAJA CON 30 TABLETAS</t>
  </si>
  <si>
    <t>Evidencia fotografica\Fotos concentrado\PARTIDA 43 Lote 19186.jpeg</t>
  </si>
  <si>
    <t xml:space="preserve">METRONIDAZOL/ NIFUROXAZIDA </t>
  </si>
  <si>
    <t xml:space="preserve"> 600 MILIGRAMOS/200 MILIGRAMOS</t>
  </si>
  <si>
    <t>NEOMICINA/POLIMIXINA B/ GRAMICIDINA, SOLUCION OFTALMICA</t>
  </si>
  <si>
    <t>25288P</t>
  </si>
  <si>
    <t xml:space="preserve"> 1,750 MILIGRAMOS/5,000 UNIDADES/0,025 MILIGRAMOS</t>
  </si>
  <si>
    <t xml:space="preserve">GOTERO CON 15 MILILITROS </t>
  </si>
  <si>
    <t>Evidencia fotografica\Fotos concentrado\PARTIDA 45 Lote 25288P.jpeg</t>
  </si>
  <si>
    <t xml:space="preserve">TERBINAFINA </t>
  </si>
  <si>
    <t>CH2501</t>
  </si>
  <si>
    <t>NAFICH</t>
  </si>
  <si>
    <t>CAJA CON TUBO DE 15 GRAMOS</t>
  </si>
  <si>
    <t>Evidencia fotografica\Fotos concentrado\PARTIDA 46 Lote CH2501.jpeg</t>
  </si>
  <si>
    <t>CE2502</t>
  </si>
  <si>
    <t>Evidencia fotografica\Fotos concentrado\PARTIDA 46 Lote CE2502.jpeg</t>
  </si>
  <si>
    <t xml:space="preserve">NORFLOXACINA </t>
  </si>
  <si>
    <t>5E0885</t>
  </si>
  <si>
    <t>NORQUINOL</t>
  </si>
  <si>
    <t>Evidencia fotografica\Fotos concentrado\PARTIDA 47 Lote 5E0885.jpeg</t>
  </si>
  <si>
    <t>5G1252</t>
  </si>
  <si>
    <t>Evidencia fotografica\Fotos concentrado\PARTIDA 47 Lote 5G1252.jpeg</t>
  </si>
  <si>
    <t>5E0882</t>
  </si>
  <si>
    <t xml:space="preserve">FENAZOPIRIDINA </t>
  </si>
  <si>
    <t>BIOFERINA</t>
  </si>
  <si>
    <t>Evidencia fotografica\Fotos concentrado\PARTIDA 48 Lote 25554.jpeg</t>
  </si>
  <si>
    <t>Evidencia fotografica\Fotos concentrado\PARTIDA 48 Lote 25431.jpeg</t>
  </si>
  <si>
    <t xml:space="preserve">PARACETAMOL </t>
  </si>
  <si>
    <t>PORTEM</t>
  </si>
  <si>
    <t xml:space="preserve">CAJA CON 10 TABLETAS </t>
  </si>
  <si>
    <t>Evidencia fotografica\Fotos concentrado\PARTIDA 49 Lote 5040594.jpeg</t>
  </si>
  <si>
    <t>Evidencia fotografica\Fotos concentrado\PARTIDA 49 Lote 5040514.jpeg</t>
  </si>
  <si>
    <t>Evidencia fotografica\Fotos concentrado\PARTIDA 49 Lote 5060791.jpeg</t>
  </si>
  <si>
    <t xml:space="preserve">BENCILPENICILINA SODICA CRISTALINA  EQUIVALENTE A 1,000,000 UI DE BENCILPENICILINA </t>
  </si>
  <si>
    <t>1,000,000 UI</t>
  </si>
  <si>
    <t>FRASCO AMPULA Y  AMPOLLETA CON DILUYENTE DE 2 MILILITROS</t>
  </si>
  <si>
    <t xml:space="preserve">NITAZOXANIDA </t>
  </si>
  <si>
    <t>R2502360</t>
  </si>
  <si>
    <t>ROSANIL</t>
  </si>
  <si>
    <r>
      <t xml:space="preserve">CAJA CON 6 GRAGEAS </t>
    </r>
    <r>
      <rPr>
        <sz val="7"/>
        <color rgb="FFFF0000"/>
        <rFont val="Calibri"/>
        <family val="2"/>
        <scheme val="minor"/>
      </rPr>
      <t>(CAJA CON 7 TABLETAS)</t>
    </r>
  </si>
  <si>
    <t>Evidencia fotografica\Fotos concentrado\PARTIDA 51 Lote 2502360.jpeg</t>
  </si>
  <si>
    <t xml:space="preserve">PARGEVERINA/CLONIXINATO DE LISINA </t>
  </si>
  <si>
    <t>FIRAC PLUS</t>
  </si>
  <si>
    <t xml:space="preserve"> 10 MILIGRAMOS/125 MILIGRAMOS</t>
  </si>
  <si>
    <t>CAJA CON 20 COMPRIMIDOS</t>
  </si>
  <si>
    <t>Evidencia fotografica\Fotos concentrado\PARTIDA 52 Lote  427871.jpeg</t>
  </si>
  <si>
    <t>Evidencia fotografica\Fotos concentrado\PARTIDA 52 Lote  432546.jpeg</t>
  </si>
  <si>
    <t xml:space="preserve">CEFTRIAXONA </t>
  </si>
  <si>
    <t>J24N045</t>
  </si>
  <si>
    <t>CAJA CON AMPULA DE POLVO Y AMPOLLETA DE 3,5 MILILITROS DE DILUYENTE CONTENIENDO CLORHIDRATO DE LIDOCAINA AL 1%</t>
  </si>
  <si>
    <t>Evidencia fotografica\Fotos concentrado\PARTIDA 53 LoteJ24N045.jpeg</t>
  </si>
  <si>
    <t>PENTOXIFILINA  GRAGEAS DE LIBERACION PROLONGADA</t>
  </si>
  <si>
    <t>U25U090</t>
  </si>
  <si>
    <t xml:space="preserve">CAJA CON 30 GRAGEAS </t>
  </si>
  <si>
    <t>Evidencia fotografica\Fotos concentrado\PARTIDA 54 Lote U25U090.jpeg</t>
  </si>
  <si>
    <t xml:space="preserve">IVERMECTINA </t>
  </si>
  <si>
    <t>VERIDEX</t>
  </si>
  <si>
    <t>6,0 MILIGRAMOS</t>
  </si>
  <si>
    <t xml:space="preserve">  CAJA CON 2 TABLETAS</t>
  </si>
  <si>
    <t>Evidencia fotografica\Fotos concentrado\PARTIDA 55 Lote 251026.jpeg</t>
  </si>
  <si>
    <t>Evidencia fotografica\Fotos concentrado\PARTIDA 55 Lote 251920.jpeg</t>
  </si>
  <si>
    <t xml:space="preserve">OSELTAMIVIR </t>
  </si>
  <si>
    <t>GENRICO</t>
  </si>
  <si>
    <t xml:space="preserve">  CAJA CON 10 CAPSULAS</t>
  </si>
  <si>
    <t>Evidencia fotografica\Fotos concentrado\PARTIDA 56 Lote 2506139.jpeg</t>
  </si>
  <si>
    <t>Evidencia fotografica\Fotos concentrado\PARTIDA 56 Lote 2506136.jpeg</t>
  </si>
  <si>
    <t xml:space="preserve">LEVOFLOXACINO </t>
  </si>
  <si>
    <t>LEFAREX</t>
  </si>
  <si>
    <t xml:space="preserve">  CAJA CON 7 TABLETAS</t>
  </si>
  <si>
    <t>Evidencia fotografica\Fotos concentrado\PARTIDA 57 Lote 25140952.jpeg</t>
  </si>
  <si>
    <t>Evidencia fotografica\Fotos concentrado\PARTIDA 57 Lote 25141394.jpeg</t>
  </si>
  <si>
    <t>CLARITROMICINA</t>
  </si>
  <si>
    <t>KLARIX</t>
  </si>
  <si>
    <t>Evidencia fotografica\Fotos concentrado\PARTIDA 58 Lote 253244.jpeg</t>
  </si>
  <si>
    <t xml:space="preserve">ACICLOVIR </t>
  </si>
  <si>
    <t>200 MILIGRAMOS</t>
  </si>
  <si>
    <t xml:space="preserve">  CAJA CON 25 TABLETAS</t>
  </si>
  <si>
    <t>PERMETRINA SOLUCION TOPICA</t>
  </si>
  <si>
    <t>BED046</t>
  </si>
  <si>
    <t>SCABISAN EMULSION</t>
  </si>
  <si>
    <t xml:space="preserve"> 5 GRAMOS </t>
  </si>
  <si>
    <t xml:space="preserve">  FRASCO CON 120 MILILITROS</t>
  </si>
  <si>
    <t>Evidencia fotografica\Fotos concentrado\PARTIDA 60 Lote BED046.jpeg</t>
  </si>
  <si>
    <t>BDL050</t>
  </si>
  <si>
    <t>Evidencia fotografica\Fotos concentrado\PARTIDA 60 Lote BDL050.jpeg</t>
  </si>
  <si>
    <t xml:space="preserve">GLIBENCLAMIDA /METFORMINA </t>
  </si>
  <si>
    <t>5F1054</t>
  </si>
  <si>
    <t>5 MILIGRAMOS/500 MILIGRAMOS</t>
  </si>
  <si>
    <t>CAJA CON 60 TABLETAS</t>
  </si>
  <si>
    <t>Evidencia fotografica\Fotos concentrado\PARTIDA 61 Lote 5F1054.jpeg</t>
  </si>
  <si>
    <t xml:space="preserve">GLIBENCLAMIDA </t>
  </si>
  <si>
    <t>SF2527</t>
  </si>
  <si>
    <t>OCRIX</t>
  </si>
  <si>
    <t>CAJA CON 50 TABLETAS</t>
  </si>
  <si>
    <t>Evidencia fotografica\Fotos concentrado\PARTIDA 62 Lote SF2527.jpeg</t>
  </si>
  <si>
    <t>SA2550</t>
  </si>
  <si>
    <t>Evidencia fotografica\Fotos concentrado\PARTIDA 62 Lote SA2550.jpeg</t>
  </si>
  <si>
    <t xml:space="preserve">METFORMINA </t>
  </si>
  <si>
    <t>850 MILIGRAMOS</t>
  </si>
  <si>
    <t>Evidencia fotografica\Fotos concentrado\PARTIDA 63 Lote 2503202.jpeg</t>
  </si>
  <si>
    <t>U25J025</t>
  </si>
  <si>
    <t>Evidencia fotografica\Fotos concentrado\PARTIDA 63 Lote U25J025.jpeg</t>
  </si>
  <si>
    <t>LOSARTAN</t>
  </si>
  <si>
    <t>PUNAB</t>
  </si>
  <si>
    <t>50 MILIGRAMOS</t>
  </si>
  <si>
    <t>Evidencia fotografica\Fotos concentrado\PARTIDA 64 Lote 250840.jpeg</t>
  </si>
  <si>
    <t xml:space="preserve">HIDROCLOROTIAZIDA </t>
  </si>
  <si>
    <t>25 MILIGRAMOS</t>
  </si>
  <si>
    <t>Evidencia fotografica\Fotos concentrado\PARTIDA 65 Lote 251010.jpeg</t>
  </si>
  <si>
    <t>Evidencia fotografica\Fotos concentrado\PARTIDA 65 Lote 251009.jpeg</t>
  </si>
  <si>
    <t xml:space="preserve">INSULINA HUMANA ISOFANA DE ACCION INTERMEDIA NPH </t>
  </si>
  <si>
    <t>S235739</t>
  </si>
  <si>
    <t>GENÉRICO (INSULEX N PISA)</t>
  </si>
  <si>
    <t>100 UI</t>
  </si>
  <si>
    <t xml:space="preserve">  FRASCO DE 10 MILILITROS </t>
  </si>
  <si>
    <t>Evidencia fotografica\Fotos concentrado\PARTIDA 66 Lote S23S739.jpeg</t>
  </si>
  <si>
    <t>S24Y045</t>
  </si>
  <si>
    <t>Evidencia fotografica\Fotos concentrado\PARTIDA 66 Lote S24Y045.jpeg</t>
  </si>
  <si>
    <t>S24A006</t>
  </si>
  <si>
    <t>Evidencia fotografica\Fotos concentrado\PARTIDA 66  Lote S24A006.jpeg</t>
  </si>
  <si>
    <t>S25F479</t>
  </si>
  <si>
    <t>Evidencia fotografica\Fotos concentrado\PARTIDA 66 Lote S25F479.jpeg</t>
  </si>
  <si>
    <t>S24N353</t>
  </si>
  <si>
    <t>Evidencia fotografica\Fotos concentrado\PARTIDA 66 Lote S24N353.jpeg</t>
  </si>
  <si>
    <t>S24Y035</t>
  </si>
  <si>
    <t>Evidencia fotografica\Fotos concentrado\PARTIDA 66 Lote S24Y035.jpeg</t>
  </si>
  <si>
    <t>S24T304</t>
  </si>
  <si>
    <t>Evidencia fotografica\Fotos concentrado\PARTIDA 66 Lote S24T304.jpeg</t>
  </si>
  <si>
    <t xml:space="preserve">NIFEDIPINO </t>
  </si>
  <si>
    <t>5GN194B</t>
  </si>
  <si>
    <t xml:space="preserve">  CAJA CON 30 COMPRIMIDOS</t>
  </si>
  <si>
    <t>Evidencia fotografica\Fotos concentrado\PARTIDA 67 Lote 5GN194B.jpeg</t>
  </si>
  <si>
    <t>5JN212A</t>
  </si>
  <si>
    <t>Evidencia fotografica\Fotos concentrado\PARTIDA 67 Lote 5JN212A.jpeg</t>
  </si>
  <si>
    <t>CLORURO DE SODIO 9%</t>
  </si>
  <si>
    <t xml:space="preserve">  BOLSA FLEX-OVAL, DE 500 MILILITROS</t>
  </si>
  <si>
    <t>Evidencia fotografica\Fotos concentrado\PARTIDA 68 Lote 2508032.jpeg</t>
  </si>
  <si>
    <t>V25E20K</t>
  </si>
  <si>
    <t>Evidencia fotografica\Fotos concentrado\PARTIDA 68 Lote V25E20K.jpeg</t>
  </si>
  <si>
    <t xml:space="preserve">GLUCOSA </t>
  </si>
  <si>
    <t>V25E26A</t>
  </si>
  <si>
    <t xml:space="preserve">AL 5% </t>
  </si>
  <si>
    <t>BOLSA FLEX-OVAL, DE 500 MILILITROS</t>
  </si>
  <si>
    <t>Evidencia fotografica\Fotos concentrado\PARTIDA 69 Lote V25E26A.jpeg</t>
  </si>
  <si>
    <t>AMPOLLETA NUMERO 1 DE 1,5 MILILITROS, CONTIENE MELOXICAM 15 MILIGRAMOS/AMPOLLETA NUMERO 2, DE 2 MILILITROS CONTIENE CLORHIDRATO DE TIAMINA (B1) 100 MILIGRAMOS/CLORHIDRATO DE PIRIDOXINA (B6) 100 MILIGRAMOS/CIANOCOBALAMINA (B12) 5 MILIGRAMOS</t>
  </si>
  <si>
    <t xml:space="preserve">  CAJA CON DOS AMPOLLETAS NUMERO 1 Y DOS NUMERO 2</t>
  </si>
  <si>
    <t xml:space="preserve">NAPROXENO SODICO </t>
  </si>
  <si>
    <t xml:space="preserve">  CAJA CON 30 TABLETAS</t>
  </si>
  <si>
    <t>OMEPRAZOL SODICO  EN AMPOLLA CON DILUYENTE DE MACROGOL 400, ACIDO CITRICO MONOHIDRATADO, AGUA PARA INYECTABLES</t>
  </si>
  <si>
    <t xml:space="preserve">  CAJA CON FRASCO AMPULA CON LIOFILIZADO Y AMPOLLETA CON DILUYENTE DE 10 MILILITROS</t>
  </si>
  <si>
    <t xml:space="preserve">METOCLOPRAMIDA </t>
  </si>
  <si>
    <t>BG25001</t>
  </si>
  <si>
    <t>Evidencia fotografica\Fotos concentrado\PARTIDA 73 Lote BG25001.jpeg</t>
  </si>
  <si>
    <t>RCN064</t>
  </si>
  <si>
    <t>Evidencia fotografica\Fotos concentrado\PARTIDA 73 Lote RCN064.jpeg</t>
  </si>
  <si>
    <t>TRIMEBUTINA</t>
  </si>
  <si>
    <t xml:space="preserve"> 200 MILIGRAMOS</t>
  </si>
  <si>
    <t>TRIMETOPRIMA /SULFAMETOXAZOL</t>
  </si>
  <si>
    <t>160 MILIGRAMOS/ 800 MILIGRAMOS</t>
  </si>
  <si>
    <t xml:space="preserve">CEFALEXINA </t>
  </si>
  <si>
    <t>CEFALVER</t>
  </si>
  <si>
    <t xml:space="preserve"> CAJA CON 20 CAPSULAS </t>
  </si>
  <si>
    <t>Evidencia fotografica\Fotos concentrado\PARTIDA 76 Lote 251195.jpeg</t>
  </si>
  <si>
    <t>Evidencia fotografica\Fotos concentrado\PARTIDA 76 Lote 251208.jpeg</t>
  </si>
  <si>
    <t>IBUPROFENO /CAFEINA</t>
  </si>
  <si>
    <t>BRYSBAL</t>
  </si>
  <si>
    <t>Evidencia fotografica\Fotos concentrado\PARTIDA 77 Lote 251143.jpeg</t>
  </si>
  <si>
    <t>Evidencia fotografica\Fotos concentrado\PARTIDA 77 Lote 250770.jpeg</t>
  </si>
  <si>
    <t>MAGALDRATO/DIMETICONA ,  GEL</t>
  </si>
  <si>
    <t xml:space="preserve"> 8 GRAMOS/1 GRAMO CADA 100 MILILITROS</t>
  </si>
  <si>
    <t>CAJA CON 10 SOBRES DE 10 MILITROS</t>
  </si>
  <si>
    <t>AMBROXOL /SALBUTAMOL JARABE</t>
  </si>
  <si>
    <t>FLUXOL</t>
  </si>
  <si>
    <t>(0,040/0,150 GRAMOS/ 100 MILILITROS)</t>
  </si>
  <si>
    <t xml:space="preserve">  ENVASE CON 120 MILILITROS </t>
  </si>
  <si>
    <t>Evidencia fotografica\Fotos concentrado\PARTIDA 79 Lote 247011.jpeg</t>
  </si>
  <si>
    <t>Evidencia fotografica\Fotos concentrado\PARTIDA 79 Lote 250503.jpeg</t>
  </si>
  <si>
    <t>DICLOFENACO  INYECTABLE</t>
  </si>
  <si>
    <t>B25U316</t>
  </si>
  <si>
    <t xml:space="preserve">   CAJA CON 2 AMPOLLETAS DE 3 MILILITROS</t>
  </si>
  <si>
    <t>Evidencia fotografica\Fotos concentrado\PARTIDA 80 Lote B25U316.jpeg</t>
  </si>
  <si>
    <t>Evidencia fotografica\Fotos concentrado\PARTIDA 80 Lote 2506185.jpeg</t>
  </si>
  <si>
    <t>METAMIZOL SODICO</t>
  </si>
  <si>
    <t>AS25006</t>
  </si>
  <si>
    <t>INDIGON</t>
  </si>
  <si>
    <t>Evidencia fotografica\Fotos concentrado\PARTIDA 81 Lote AS25006.jpeg</t>
  </si>
  <si>
    <t xml:space="preserve">SERTRALINA </t>
  </si>
  <si>
    <t>U25U469</t>
  </si>
  <si>
    <t xml:space="preserve">  CAJA CON 14 TABLETAS</t>
  </si>
  <si>
    <t>Evidencia fotografica\Fotos concentrado\PARTIDA 82 Lote U25U469.jpeg</t>
  </si>
  <si>
    <t xml:space="preserve">FENITOINA SODICA </t>
  </si>
  <si>
    <t>R2505672</t>
  </si>
  <si>
    <t>FENIFFLER-T</t>
  </si>
  <si>
    <t xml:space="preserve">  CAJA CON 50 TABLETAS</t>
  </si>
  <si>
    <t>Evidencia fotografica\Fotos concentrado\PARTIDA 83 Lote R2505672.jpeg</t>
  </si>
  <si>
    <t xml:space="preserve">CARBAMAZEPINA </t>
  </si>
  <si>
    <t>Evidencia fotografica\Fotos concentrado\PARTIDA 84 Lote 51770.jpeg</t>
  </si>
  <si>
    <t>OLANZAPINA INYECTABLE</t>
  </si>
  <si>
    <t xml:space="preserve">  ENVASE CON FRASCO AMPULA</t>
  </si>
  <si>
    <t xml:space="preserve">OLANZAPINA </t>
  </si>
  <si>
    <t>RFN045</t>
  </si>
  <si>
    <t>EFLECON</t>
  </si>
  <si>
    <t xml:space="preserve">  ENVASE CON 14 TABLETAS</t>
  </si>
  <si>
    <t>Evidencia fotografica\Fotos concentrado\PARTIDA 86 Lote RFN045.jpeg</t>
  </si>
  <si>
    <t xml:space="preserve">RISPERIDONA </t>
  </si>
  <si>
    <t xml:space="preserve">  CAJA CON 40 TABLETAS</t>
  </si>
  <si>
    <t>Evidencia fotografica\Fotos concentrado\PARTIDA 87 Lote 360725.jpeg</t>
  </si>
  <si>
    <t>CLONAZEPAM</t>
  </si>
  <si>
    <t>Evidencia fotografica\Fotos concentrado\PARTIDA 88 Lote 3930725.jpeg</t>
  </si>
  <si>
    <t>HALOPERIDOL</t>
  </si>
  <si>
    <t>0206B25</t>
  </si>
  <si>
    <t xml:space="preserve"> 5 MILIGRAMOS</t>
  </si>
  <si>
    <t xml:space="preserve"> CAJA CON 20 TABLETAS</t>
  </si>
  <si>
    <t>Evidencia fotografica\Fotos concentrado\PARTIDA 89 Lote 0206B25.jpeg</t>
  </si>
  <si>
    <t xml:space="preserve">DECAONATO DE HALOPERIDOL </t>
  </si>
  <si>
    <t>150 MILIGRAMOS</t>
  </si>
  <si>
    <t xml:space="preserve">  CAJA CON UNA AMPOLLETA</t>
  </si>
  <si>
    <t xml:space="preserve">VALPROATO DE MAGNESIO </t>
  </si>
  <si>
    <t>Evidencia fotografica\Fotos concentrado\PARTIDA 91 Lote 25020118.jpeg</t>
  </si>
  <si>
    <t xml:space="preserve">PAROXETINA </t>
  </si>
  <si>
    <t>5DN377B</t>
  </si>
  <si>
    <t>Evidencia fotografica\Fotos concentrado\PARTIDA 92 Lote 5DN377B.jpeg</t>
  </si>
  <si>
    <t xml:space="preserve">QUETIAPINA </t>
  </si>
  <si>
    <t xml:space="preserve"> 50 MILIGRAMOS</t>
  </si>
  <si>
    <t xml:space="preserve">  ENVASE CON 40 TABLETAS</t>
  </si>
  <si>
    <t xml:space="preserve">AMOXICILINA  </t>
  </si>
  <si>
    <t>S4559</t>
  </si>
  <si>
    <t>VANDIX</t>
  </si>
  <si>
    <t>7,5 GRAMOS (500 MILIGRAMOS/5 MILILITROS)</t>
  </si>
  <si>
    <t xml:space="preserve">  ENVASE CON POLVO PARA 75 MILILITROS</t>
  </si>
  <si>
    <t>Evidencia fotografica\Fotos concentrado\PARTIDA 94 Lote S4559.jpeg</t>
  </si>
  <si>
    <t>AMOXICILINA / CLAVULANATO DE POTASIO SUSPENSIÓN</t>
  </si>
  <si>
    <t>1,5 GRAMOS/375 MILIGRAMOS (5 MILILITROS /125 MILIGRAMOS AMOXICILINA/31,25 MILIGRAMOS ACIDO CLAVULANICO)</t>
  </si>
  <si>
    <t xml:space="preserve">  ENVASE CON 60 MILILITROS</t>
  </si>
  <si>
    <t>LG2501</t>
  </si>
  <si>
    <t>WAMINDEL</t>
  </si>
  <si>
    <t xml:space="preserve">  ENVASE CON 15 MILILITROS</t>
  </si>
  <si>
    <t>Evidencia fotografica\Fotos concentrado\PARTIDA 96 Lote LG2501.jpeg</t>
  </si>
  <si>
    <t>TRIMETOPRIMA/SUFAMETOXASOL  SUSPENSIÓN</t>
  </si>
  <si>
    <t>40 MILIGRAMOS /200 MILIGRAMOS EN 5 MILILITROS</t>
  </si>
  <si>
    <t xml:space="preserve">  FRASCO CON 120 MILILITROS CON VASO DOSIFICADOR</t>
  </si>
  <si>
    <t>Evidencia fotografica\Fotos concentrado\PARTIDA 97 Lote 730015.jpeg</t>
  </si>
  <si>
    <t>LORATADINA JARABE</t>
  </si>
  <si>
    <t>LC2515</t>
  </si>
  <si>
    <t xml:space="preserve">  ENVASE CON 60 MILILITROS </t>
  </si>
  <si>
    <t>Evidencia fotografica\Fotos concentrado\PARTIDA 98 Lote LC2515.jpeg</t>
  </si>
  <si>
    <t>LE2502</t>
  </si>
  <si>
    <t>AMPICILINA SUSPENSION</t>
  </si>
  <si>
    <t xml:space="preserve"> 125 MILIGRAMOS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</si>
</sst>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u/>
      <sz val="11"/>
      <color theme="10"/>
      <name val="Calibri"/>
      <family val="2"/>
      <scheme val="minor"/>
    </font>
    <font>
      <sz val="9"/>
      <color theme="1"/>
      <name val="Calibri"/>
      <family val="2"/>
      <scheme val="minor"/>
    </font>
    <font>
      <sz val="6"/>
      <color theme="1"/>
      <name val="Calibri"/>
      <family val="2"/>
      <scheme val="minor"/>
    </font>
    <font>
      <b/>
      <sz val="12"/>
      <color theme="1"/>
      <name val="Calibri"/>
      <family val="2"/>
      <scheme val="minor"/>
    </font>
    <font>
      <b/>
      <sz val="14"/>
      <color theme="1"/>
      <name val="Calibri"/>
      <family val="2"/>
    </font>
    <font>
      <b/>
      <sz val="4"/>
      <color theme="4" tint="-0.249977111117893"/>
      <name val="Calibri"/>
      <family val="2"/>
      <scheme val="minor"/>
    </font>
    <font>
      <b/>
      <sz val="7"/>
      <color theme="1"/>
      <name val="Calibri Light"/>
      <family val="2"/>
      <scheme val="major"/>
    </font>
    <font>
      <b/>
      <sz val="6"/>
      <color theme="1"/>
      <name val="Calibri Light"/>
      <family val="2"/>
      <scheme val="major"/>
    </font>
    <font>
      <b/>
      <sz val="3"/>
      <color theme="1"/>
      <name val="Calibri Light"/>
      <family val="2"/>
      <scheme val="major"/>
    </font>
    <font>
      <b/>
      <sz val="3.5"/>
      <color theme="1"/>
      <name val="Calibri Light"/>
      <family val="2"/>
      <scheme val="major"/>
    </font>
    <font>
      <b/>
      <sz val="5"/>
      <color theme="1"/>
      <name val="Calibri Light"/>
      <family val="2"/>
      <scheme val="major"/>
    </font>
    <font>
      <sz val="7"/>
      <color theme="1"/>
      <name val="Calibri"/>
      <family val="2"/>
      <scheme val="minor"/>
    </font>
    <font>
      <b/>
      <sz val="11"/>
      <color theme="4" tint="-0.249977111117893"/>
      <name val="Calibri"/>
      <family val="2"/>
      <scheme val="minor"/>
    </font>
    <font>
      <sz val="7"/>
      <color theme="1"/>
      <name val="Arial"/>
      <family val="2"/>
    </font>
    <font>
      <u/>
      <sz val="6"/>
      <color theme="10"/>
      <name val="Calibri"/>
      <family val="2"/>
      <scheme val="minor"/>
    </font>
    <font>
      <sz val="7"/>
      <color rgb="FFC92121"/>
      <name val="Calibri"/>
      <family val="2"/>
      <scheme val="minor"/>
    </font>
    <font>
      <sz val="7"/>
      <color rgb="FFFF0000"/>
      <name val="Calibri"/>
      <family val="2"/>
      <scheme val="minor"/>
    </font>
    <font>
      <sz val="7"/>
      <name val="Calibri"/>
      <family val="2"/>
      <scheme val="minor"/>
    </font>
    <font>
      <b/>
      <sz val="8"/>
      <color theme="4" tint="-0.249977111117893"/>
      <name val="Arial"/>
      <family val="2"/>
    </font>
    <font>
      <sz val="7"/>
      <color theme="1"/>
      <name val="Arial Narrow"/>
      <family val="2"/>
    </font>
    <font>
      <b/>
      <sz val="9"/>
      <color indexed="81"/>
      <name val="Tahoma"/>
      <family val="2"/>
    </font>
    <font>
      <sz val="9"/>
      <color indexed="81"/>
      <name val="Tahoma"/>
      <family val="2"/>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79">
    <xf numFmtId="0" fontId="0" fillId="0" borderId="0" xfId="0"/>
    <xf numFmtId="0" fontId="0" fillId="0" borderId="0" xfId="0" applyAlignment="1">
      <alignment horizontal="center" vertical="center"/>
    </xf>
    <xf numFmtId="0" fontId="0" fillId="0" borderId="0" xfId="0" applyAlignment="1">
      <alignment vertical="center"/>
    </xf>
    <xf numFmtId="14" fontId="2" fillId="0" borderId="0" xfId="0" applyNumberFormat="1" applyFont="1" applyAlignment="1">
      <alignment horizontal="center" vertical="center"/>
    </xf>
    <xf numFmtId="0" fontId="4" fillId="0" borderId="0" xfId="0" applyFont="1" applyAlignment="1">
      <alignment horizontal="right"/>
    </xf>
    <xf numFmtId="0" fontId="5" fillId="0" borderId="0" xfId="0" applyFont="1" applyBorder="1" applyAlignment="1">
      <alignment horizontal="center" vertical="center" wrapText="1"/>
    </xf>
    <xf numFmtId="0" fontId="6"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2" borderId="2" xfId="0" applyFont="1" applyFill="1" applyBorder="1" applyAlignment="1">
      <alignment horizontal="center" vertical="center" textRotation="255" wrapText="1"/>
    </xf>
    <xf numFmtId="0" fontId="10"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3" fillId="0" borderId="5" xfId="0" applyFont="1" applyFill="1" applyBorder="1" applyAlignment="1">
      <alignment horizontal="center" vertical="center"/>
    </xf>
    <xf numFmtId="0" fontId="12" fillId="0" borderId="6" xfId="0" applyFont="1" applyBorder="1" applyAlignment="1">
      <alignment horizontal="left" vertical="center" wrapText="1"/>
    </xf>
    <xf numFmtId="0" fontId="12" fillId="0" borderId="6" xfId="0" applyFont="1" applyBorder="1" applyAlignment="1">
      <alignment horizontal="center" vertical="center"/>
    </xf>
    <xf numFmtId="0" fontId="14" fillId="0" borderId="6" xfId="0" applyFont="1" applyBorder="1" applyAlignment="1">
      <alignment horizontal="center" vertical="center" wrapText="1"/>
    </xf>
    <xf numFmtId="0" fontId="12" fillId="0" borderId="6" xfId="0" applyFont="1" applyBorder="1" applyAlignment="1">
      <alignment horizontal="center" vertical="center" wrapText="1"/>
    </xf>
    <xf numFmtId="1" fontId="12" fillId="0" borderId="6" xfId="0" applyNumberFormat="1" applyFont="1" applyBorder="1" applyAlignment="1">
      <alignment horizontal="right" vertical="center" wrapText="1"/>
    </xf>
    <xf numFmtId="0" fontId="13" fillId="0" borderId="7" xfId="0" applyFont="1" applyFill="1" applyBorder="1" applyAlignment="1">
      <alignment horizontal="center" vertical="center"/>
    </xf>
    <xf numFmtId="0" fontId="12" fillId="0" borderId="8" xfId="0" applyFont="1" applyBorder="1" applyAlignment="1">
      <alignment horizontal="left" vertical="center" wrapText="1"/>
    </xf>
    <xf numFmtId="0" fontId="12" fillId="0" borderId="8" xfId="0" applyFont="1" applyBorder="1" applyAlignment="1">
      <alignment horizontal="center" vertical="center"/>
    </xf>
    <xf numFmtId="0" fontId="14" fillId="0" borderId="8" xfId="0" applyFont="1" applyBorder="1" applyAlignment="1">
      <alignment horizontal="center" vertical="center" wrapText="1"/>
    </xf>
    <xf numFmtId="0" fontId="12" fillId="0" borderId="8" xfId="0" applyFont="1" applyBorder="1" applyAlignment="1">
      <alignment horizontal="center" vertical="center" wrapText="1"/>
    </xf>
    <xf numFmtId="1" fontId="12" fillId="0" borderId="8" xfId="0" applyNumberFormat="1" applyFont="1" applyBorder="1" applyAlignment="1">
      <alignment horizontal="right" vertical="center" wrapText="1"/>
    </xf>
    <xf numFmtId="0" fontId="3" fillId="0" borderId="8" xfId="0" applyFont="1" applyFill="1" applyBorder="1"/>
    <xf numFmtId="0" fontId="12" fillId="0" borderId="4" xfId="0" applyFont="1" applyBorder="1" applyAlignment="1">
      <alignment horizontal="left" vertical="center" wrapText="1"/>
    </xf>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1" fontId="12" fillId="0" borderId="4" xfId="0" applyNumberFormat="1" applyFont="1" applyBorder="1" applyAlignment="1">
      <alignment horizontal="right" vertical="center" wrapText="1"/>
    </xf>
    <xf numFmtId="0" fontId="3" fillId="0" borderId="4" xfId="0" applyFont="1" applyFill="1" applyBorder="1"/>
    <xf numFmtId="0" fontId="13" fillId="0" borderId="9" xfId="0" applyFont="1" applyFill="1" applyBorder="1" applyAlignment="1">
      <alignment horizontal="center" vertical="center"/>
    </xf>
    <xf numFmtId="0" fontId="12" fillId="0" borderId="6" xfId="0" applyFont="1" applyFill="1" applyBorder="1" applyAlignment="1">
      <alignment horizontal="center" vertical="center" wrapText="1"/>
    </xf>
    <xf numFmtId="3" fontId="16" fillId="0" borderId="6" xfId="0" applyNumberFormat="1" applyFont="1" applyBorder="1" applyAlignment="1">
      <alignment horizontal="center" vertical="center" wrapText="1"/>
    </xf>
    <xf numFmtId="0" fontId="12" fillId="0" borderId="8" xfId="0" applyFont="1" applyFill="1" applyBorder="1" applyAlignment="1">
      <alignment horizontal="center" vertical="center" wrapText="1"/>
    </xf>
    <xf numFmtId="3" fontId="12" fillId="0" borderId="8" xfId="0" applyNumberFormat="1" applyFont="1" applyBorder="1" applyAlignment="1">
      <alignment horizontal="center" vertical="center" wrapText="1"/>
    </xf>
    <xf numFmtId="0" fontId="13" fillId="0" borderId="10" xfId="0" applyFont="1" applyFill="1" applyBorder="1" applyAlignment="1">
      <alignment horizontal="center" vertical="center"/>
    </xf>
    <xf numFmtId="3" fontId="12" fillId="0" borderId="6" xfId="0" applyNumberFormat="1" applyFont="1" applyBorder="1" applyAlignment="1">
      <alignment horizontal="center" vertical="center" wrapText="1"/>
    </xf>
    <xf numFmtId="0" fontId="13" fillId="0" borderId="11" xfId="0" applyFont="1" applyFill="1" applyBorder="1" applyAlignment="1">
      <alignment horizontal="center" vertical="center"/>
    </xf>
    <xf numFmtId="0" fontId="12" fillId="0"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 fontId="12" fillId="0" borderId="1" xfId="0" applyNumberFormat="1" applyFont="1" applyBorder="1" applyAlignment="1">
      <alignment horizontal="right" vertical="center" wrapText="1"/>
    </xf>
    <xf numFmtId="0" fontId="13" fillId="0" borderId="12" xfId="0" applyFont="1" applyFill="1" applyBorder="1" applyAlignment="1">
      <alignment horizontal="center" vertical="center"/>
    </xf>
    <xf numFmtId="3" fontId="12" fillId="0" borderId="13" xfId="0" applyNumberFormat="1" applyFont="1" applyBorder="1" applyAlignment="1">
      <alignment horizontal="center" vertical="center" wrapText="1"/>
    </xf>
    <xf numFmtId="0" fontId="12" fillId="0" borderId="13" xfId="0" applyFont="1" applyBorder="1" applyAlignment="1">
      <alignment horizontal="left" vertical="center" wrapText="1"/>
    </xf>
    <xf numFmtId="0" fontId="13" fillId="0" borderId="15" xfId="0" applyFont="1" applyFill="1" applyBorder="1" applyAlignment="1">
      <alignment horizontal="center" vertical="center"/>
    </xf>
    <xf numFmtId="0" fontId="12" fillId="0" borderId="16" xfId="0" applyFont="1" applyBorder="1" applyAlignment="1">
      <alignment horizontal="center" vertical="center" wrapText="1"/>
    </xf>
    <xf numFmtId="0" fontId="12" fillId="0" borderId="16" xfId="0" applyFont="1" applyBorder="1" applyAlignment="1">
      <alignment horizontal="left" vertical="center" wrapText="1"/>
    </xf>
    <xf numFmtId="0" fontId="0" fillId="0" borderId="0" xfId="0" applyBorder="1"/>
    <xf numFmtId="0" fontId="12" fillId="0" borderId="16" xfId="0" applyFont="1" applyBorder="1" applyAlignment="1">
      <alignment horizontal="center" vertical="center"/>
    </xf>
    <xf numFmtId="3" fontId="12" fillId="0" borderId="16" xfId="0" applyNumberFormat="1" applyFont="1" applyBorder="1" applyAlignment="1">
      <alignment horizontal="center" vertical="center" wrapText="1"/>
    </xf>
    <xf numFmtId="1" fontId="12" fillId="0" borderId="16" xfId="0" applyNumberFormat="1" applyFont="1" applyBorder="1" applyAlignment="1">
      <alignment horizontal="right" vertical="center" wrapText="1"/>
    </xf>
    <xf numFmtId="0" fontId="13" fillId="0" borderId="17" xfId="0" applyFont="1" applyFill="1" applyBorder="1" applyAlignment="1">
      <alignment horizontal="center" vertical="center"/>
    </xf>
    <xf numFmtId="0" fontId="12" fillId="0" borderId="18" xfId="0" applyFont="1" applyFill="1" applyBorder="1" applyAlignment="1">
      <alignment horizontal="center" vertical="center" wrapText="1"/>
    </xf>
    <xf numFmtId="0" fontId="12" fillId="0" borderId="18" xfId="0" applyFont="1" applyBorder="1" applyAlignment="1">
      <alignment horizontal="left" vertical="center" wrapText="1"/>
    </xf>
    <xf numFmtId="0" fontId="12" fillId="0" borderId="18" xfId="0" applyFont="1" applyBorder="1" applyAlignment="1">
      <alignment horizontal="center" vertical="center"/>
    </xf>
    <xf numFmtId="3" fontId="14" fillId="0" borderId="18" xfId="0" applyNumberFormat="1" applyFont="1" applyBorder="1" applyAlignment="1">
      <alignment horizontal="center" vertical="center" wrapText="1"/>
    </xf>
    <xf numFmtId="0" fontId="12" fillId="0" borderId="18" xfId="0" applyFont="1" applyBorder="1" applyAlignment="1">
      <alignment horizontal="center" vertical="center" wrapText="1"/>
    </xf>
    <xf numFmtId="1" fontId="12" fillId="0" borderId="18" xfId="0" applyNumberFormat="1" applyFont="1" applyBorder="1" applyAlignment="1">
      <alignment horizontal="right" vertical="center" wrapText="1"/>
    </xf>
    <xf numFmtId="0" fontId="3" fillId="0" borderId="18" xfId="0" applyFont="1" applyBorder="1" applyAlignment="1">
      <alignment horizontal="center" vertical="center" wrapText="1"/>
    </xf>
    <xf numFmtId="0" fontId="3" fillId="0" borderId="18" xfId="0" applyFont="1" applyFill="1" applyBorder="1" applyAlignment="1">
      <alignment horizontal="center" vertical="center" wrapText="1"/>
    </xf>
    <xf numFmtId="0" fontId="12" fillId="0" borderId="13" xfId="0" applyFont="1" applyBorder="1" applyAlignment="1">
      <alignment horizontal="center" vertical="center"/>
    </xf>
    <xf numFmtId="3" fontId="14" fillId="0" borderId="13" xfId="0" applyNumberFormat="1" applyFont="1" applyBorder="1" applyAlignment="1">
      <alignment horizontal="center" vertical="center" wrapText="1"/>
    </xf>
    <xf numFmtId="0" fontId="12" fillId="0" borderId="13" xfId="0" applyFont="1" applyBorder="1" applyAlignment="1">
      <alignment horizontal="center" vertical="center" wrapText="1"/>
    </xf>
    <xf numFmtId="1" fontId="12" fillId="0" borderId="13" xfId="0" applyNumberFormat="1" applyFont="1" applyBorder="1" applyAlignment="1">
      <alignment horizontal="right" vertical="center" wrapText="1"/>
    </xf>
    <xf numFmtId="0" fontId="13" fillId="0" borderId="11" xfId="0" applyFont="1" applyBorder="1" applyAlignment="1">
      <alignment horizontal="center" vertical="center"/>
    </xf>
    <xf numFmtId="0" fontId="12" fillId="0" borderId="8" xfId="0" applyFont="1" applyFill="1" applyBorder="1" applyAlignment="1">
      <alignment horizontal="left" vertical="center" wrapText="1"/>
    </xf>
    <xf numFmtId="0" fontId="12" fillId="0" borderId="16" xfId="0" applyFont="1" applyFill="1" applyBorder="1" applyAlignment="1">
      <alignment horizontal="left" vertical="center" wrapText="1"/>
    </xf>
    <xf numFmtId="14" fontId="12" fillId="0" borderId="16" xfId="0" applyNumberFormat="1" applyFont="1" applyFill="1" applyBorder="1" applyAlignment="1">
      <alignment horizontal="center" vertical="center"/>
    </xf>
    <xf numFmtId="0" fontId="12" fillId="0" borderId="16" xfId="0" applyFont="1" applyFill="1" applyBorder="1" applyAlignment="1">
      <alignment horizontal="center" vertical="center"/>
    </xf>
    <xf numFmtId="14" fontId="12" fillId="0" borderId="16" xfId="0" applyNumberFormat="1" applyFont="1" applyFill="1" applyBorder="1" applyAlignment="1">
      <alignment horizontal="center" vertical="center" wrapText="1"/>
    </xf>
    <xf numFmtId="0" fontId="12" fillId="0" borderId="18" xfId="0" applyFont="1" applyFill="1" applyBorder="1" applyAlignment="1">
      <alignment horizontal="left" vertical="center" wrapText="1"/>
    </xf>
    <xf numFmtId="0" fontId="14" fillId="0" borderId="18" xfId="0" applyFont="1" applyBorder="1" applyAlignment="1">
      <alignment horizontal="center" vertical="center" wrapText="1"/>
    </xf>
    <xf numFmtId="0" fontId="12" fillId="0" borderId="13" xfId="0" applyFont="1" applyFill="1" applyBorder="1" applyAlignment="1">
      <alignment horizontal="left" vertical="center" wrapText="1"/>
    </xf>
    <xf numFmtId="0" fontId="14" fillId="0" borderId="13" xfId="0" applyFont="1" applyBorder="1" applyAlignment="1">
      <alignment horizontal="center" vertical="center" wrapText="1"/>
    </xf>
    <xf numFmtId="0" fontId="13" fillId="0" borderId="5" xfId="0" applyFont="1" applyBorder="1" applyAlignment="1">
      <alignment horizontal="center" vertical="center"/>
    </xf>
    <xf numFmtId="3" fontId="14" fillId="0" borderId="6" xfId="0" applyNumberFormat="1" applyFont="1" applyBorder="1" applyAlignment="1">
      <alignment horizontal="center" vertical="center" wrapText="1"/>
    </xf>
    <xf numFmtId="3" fontId="14" fillId="0" borderId="1" xfId="0" applyNumberFormat="1" applyFont="1" applyBorder="1" applyAlignment="1">
      <alignment horizontal="center" vertical="center" wrapText="1"/>
    </xf>
    <xf numFmtId="0" fontId="13" fillId="0" borderId="7" xfId="0" applyFont="1" applyBorder="1" applyAlignment="1">
      <alignment horizontal="center" vertical="center"/>
    </xf>
    <xf numFmtId="3" fontId="14" fillId="0" borderId="8" xfId="0" applyNumberFormat="1" applyFont="1" applyBorder="1" applyAlignment="1">
      <alignment horizontal="center" vertical="center" wrapText="1"/>
    </xf>
    <xf numFmtId="3" fontId="14" fillId="0" borderId="4" xfId="0" applyNumberFormat="1" applyFont="1" applyBorder="1" applyAlignment="1">
      <alignment horizontal="center" vertical="center" wrapText="1"/>
    </xf>
    <xf numFmtId="0" fontId="12" fillId="0" borderId="1" xfId="0" applyFont="1" applyFill="1" applyBorder="1" applyAlignment="1">
      <alignment horizontal="left" vertical="center" wrapText="1"/>
    </xf>
    <xf numFmtId="3" fontId="14" fillId="0" borderId="16" xfId="0" applyNumberFormat="1" applyFont="1" applyBorder="1" applyAlignment="1">
      <alignment horizontal="center" vertical="center" wrapText="1"/>
    </xf>
    <xf numFmtId="0" fontId="12" fillId="0" borderId="18" xfId="0" applyFont="1" applyFill="1" applyBorder="1" applyAlignment="1">
      <alignment horizontal="center" vertical="center"/>
    </xf>
    <xf numFmtId="3" fontId="14" fillId="0" borderId="18" xfId="0" applyNumberFormat="1" applyFont="1" applyFill="1" applyBorder="1" applyAlignment="1">
      <alignment horizontal="center" vertical="center" wrapText="1"/>
    </xf>
    <xf numFmtId="1" fontId="12" fillId="0" borderId="18" xfId="0" applyNumberFormat="1" applyFont="1" applyFill="1" applyBorder="1" applyAlignment="1">
      <alignment horizontal="right" vertical="center" wrapText="1"/>
    </xf>
    <xf numFmtId="14" fontId="12" fillId="0" borderId="18" xfId="0" applyNumberFormat="1" applyFont="1" applyFill="1" applyBorder="1" applyAlignment="1">
      <alignment horizontal="center" vertical="center"/>
    </xf>
    <xf numFmtId="0" fontId="3" fillId="0" borderId="18" xfId="0" applyFont="1" applyFill="1" applyBorder="1"/>
    <xf numFmtId="0" fontId="12" fillId="0" borderId="6" xfId="0" applyFont="1" applyFill="1" applyBorder="1" applyAlignment="1">
      <alignment horizontal="left" vertical="center" wrapText="1"/>
    </xf>
    <xf numFmtId="0" fontId="13" fillId="0" borderId="17" xfId="0" applyFont="1" applyBorder="1" applyAlignment="1">
      <alignment horizontal="center" vertical="center"/>
    </xf>
    <xf numFmtId="3" fontId="17" fillId="0" borderId="18" xfId="0" applyNumberFormat="1" applyFont="1" applyBorder="1" applyAlignment="1">
      <alignment horizontal="center" vertical="center" wrapText="1"/>
    </xf>
    <xf numFmtId="0" fontId="18" fillId="0" borderId="18" xfId="0" applyFont="1" applyBorder="1" applyAlignment="1">
      <alignment horizontal="center" vertical="center"/>
    </xf>
    <xf numFmtId="11" fontId="12" fillId="0" borderId="13" xfId="0" applyNumberFormat="1" applyFont="1" applyBorder="1" applyAlignment="1">
      <alignment horizontal="center" vertical="center"/>
    </xf>
    <xf numFmtId="11" fontId="12" fillId="0" borderId="16" xfId="0" applyNumberFormat="1" applyFont="1" applyBorder="1" applyAlignment="1">
      <alignment horizontal="center" vertical="center"/>
    </xf>
    <xf numFmtId="0" fontId="13" fillId="0" borderId="19" xfId="0" applyFont="1" applyFill="1" applyBorder="1" applyAlignment="1">
      <alignment horizontal="center" vertical="center"/>
    </xf>
    <xf numFmtId="0" fontId="12" fillId="0" borderId="14" xfId="0" applyFont="1" applyBorder="1" applyAlignment="1">
      <alignment horizontal="left" vertical="center" wrapText="1"/>
    </xf>
    <xf numFmtId="0" fontId="12" fillId="0" borderId="14" xfId="0" applyFont="1" applyBorder="1" applyAlignment="1">
      <alignment horizontal="center" vertical="center"/>
    </xf>
    <xf numFmtId="3" fontId="12" fillId="0" borderId="14" xfId="0" applyNumberFormat="1" applyFont="1" applyBorder="1" applyAlignment="1">
      <alignment horizontal="center" vertical="center" wrapText="1"/>
    </xf>
    <xf numFmtId="0" fontId="12" fillId="0" borderId="14" xfId="0" applyFont="1" applyBorder="1" applyAlignment="1">
      <alignment horizontal="center" vertical="center" wrapText="1"/>
    </xf>
    <xf numFmtId="1" fontId="12" fillId="0" borderId="14" xfId="0" applyNumberFormat="1" applyFont="1" applyBorder="1" applyAlignment="1">
      <alignment horizontal="right" vertical="center" wrapText="1"/>
    </xf>
    <xf numFmtId="3" fontId="12" fillId="0" borderId="18" xfId="0" applyNumberFormat="1" applyFont="1" applyBorder="1" applyAlignment="1">
      <alignment horizontal="center" vertical="center" wrapText="1"/>
    </xf>
    <xf numFmtId="9" fontId="12" fillId="0" borderId="6" xfId="0" applyNumberFormat="1" applyFont="1" applyBorder="1" applyAlignment="1">
      <alignment horizontal="center" vertical="center" wrapText="1"/>
    </xf>
    <xf numFmtId="9" fontId="12" fillId="0" borderId="8" xfId="0" applyNumberFormat="1" applyFont="1" applyBorder="1" applyAlignment="1">
      <alignment horizontal="center" vertical="center" wrapText="1"/>
    </xf>
    <xf numFmtId="0" fontId="12" fillId="0" borderId="8" xfId="0" applyFont="1" applyFill="1" applyBorder="1" applyAlignment="1">
      <alignment horizontal="center" vertical="center"/>
    </xf>
    <xf numFmtId="0" fontId="19" fillId="0" borderId="17" xfId="0" applyFont="1" applyFill="1" applyBorder="1" applyAlignment="1">
      <alignment horizontal="center" vertical="center" wrapText="1"/>
    </xf>
    <xf numFmtId="0" fontId="19" fillId="0" borderId="12"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7" xfId="0" applyFont="1" applyFill="1" applyBorder="1" applyAlignment="1">
      <alignment horizontal="center" vertical="center" wrapText="1"/>
    </xf>
    <xf numFmtId="3" fontId="14" fillId="0" borderId="18" xfId="0" applyNumberFormat="1" applyFont="1" applyBorder="1" applyAlignment="1">
      <alignment horizontal="center" vertical="center"/>
    </xf>
    <xf numFmtId="0" fontId="14" fillId="0" borderId="18" xfId="0" applyFont="1" applyBorder="1" applyAlignment="1">
      <alignment horizontal="center" vertical="center"/>
    </xf>
    <xf numFmtId="0" fontId="14" fillId="0" borderId="18" xfId="0" applyFont="1" applyFill="1" applyBorder="1" applyAlignment="1">
      <alignment horizontal="center" vertical="center" wrapText="1"/>
    </xf>
    <xf numFmtId="0" fontId="14" fillId="0" borderId="6" xfId="0" applyFont="1" applyBorder="1" applyAlignment="1">
      <alignment horizontal="center" vertical="center"/>
    </xf>
    <xf numFmtId="0" fontId="14" fillId="0" borderId="8" xfId="0" applyFont="1" applyBorder="1" applyAlignment="1">
      <alignment horizontal="center" vertical="center"/>
    </xf>
    <xf numFmtId="0" fontId="20" fillId="0" borderId="18" xfId="0" applyFont="1" applyBorder="1" applyAlignment="1">
      <alignment horizontal="center" vertical="center"/>
    </xf>
    <xf numFmtId="14" fontId="12" fillId="0" borderId="6" xfId="0" applyNumberFormat="1" applyFont="1" applyFill="1" applyBorder="1" applyAlignment="1">
      <alignment horizontal="center" vertical="center"/>
    </xf>
    <xf numFmtId="0" fontId="12" fillId="0" borderId="6" xfId="0" applyFont="1" applyFill="1" applyBorder="1" applyAlignment="1">
      <alignment horizontal="center" vertical="center"/>
    </xf>
    <xf numFmtId="14" fontId="12" fillId="0" borderId="8" xfId="0" applyNumberFormat="1" applyFont="1" applyFill="1" applyBorder="1" applyAlignment="1">
      <alignment horizontal="center" vertical="center"/>
    </xf>
    <xf numFmtId="14" fontId="12" fillId="0" borderId="4" xfId="0" applyNumberFormat="1" applyFont="1" applyFill="1" applyBorder="1" applyAlignment="1">
      <alignment horizontal="center" vertical="center"/>
    </xf>
    <xf numFmtId="0" fontId="12" fillId="0" borderId="4" xfId="0" applyFont="1" applyFill="1" applyBorder="1" applyAlignment="1">
      <alignment horizontal="center" vertical="center"/>
    </xf>
    <xf numFmtId="14" fontId="12" fillId="0" borderId="1" xfId="0" applyNumberFormat="1" applyFont="1" applyFill="1" applyBorder="1" applyAlignment="1">
      <alignment horizontal="center" vertical="center"/>
    </xf>
    <xf numFmtId="0" fontId="12" fillId="0" borderId="1" xfId="0" applyFont="1" applyFill="1" applyBorder="1" applyAlignment="1">
      <alignment horizontal="center" vertical="center"/>
    </xf>
    <xf numFmtId="14" fontId="12" fillId="0" borderId="13" xfId="0" applyNumberFormat="1" applyFont="1" applyFill="1" applyBorder="1" applyAlignment="1">
      <alignment horizontal="center" vertical="center"/>
    </xf>
    <xf numFmtId="0" fontId="12" fillId="0" borderId="13" xfId="0" applyFont="1" applyFill="1" applyBorder="1" applyAlignment="1">
      <alignment horizontal="center" vertical="center"/>
    </xf>
    <xf numFmtId="14" fontId="12" fillId="0" borderId="14" xfId="0" applyNumberFormat="1" applyFont="1" applyFill="1" applyBorder="1" applyAlignment="1">
      <alignment horizontal="center" vertical="center"/>
    </xf>
    <xf numFmtId="0" fontId="12" fillId="0" borderId="14" xfId="0" applyFont="1" applyFill="1" applyBorder="1" applyAlignment="1">
      <alignment horizontal="center" vertical="center"/>
    </xf>
    <xf numFmtId="14" fontId="12" fillId="0" borderId="6" xfId="0" applyNumberFormat="1" applyFont="1" applyFill="1" applyBorder="1" applyAlignment="1">
      <alignment horizontal="center"/>
    </xf>
    <xf numFmtId="14" fontId="12" fillId="0" borderId="1" xfId="0" applyNumberFormat="1" applyFont="1" applyFill="1" applyBorder="1" applyAlignment="1">
      <alignment horizontal="center"/>
    </xf>
    <xf numFmtId="14" fontId="12" fillId="0" borderId="8" xfId="0" applyNumberFormat="1" applyFont="1" applyFill="1" applyBorder="1" applyAlignment="1">
      <alignment horizontal="center"/>
    </xf>
    <xf numFmtId="0" fontId="3" fillId="0" borderId="6" xfId="0" applyFont="1" applyFill="1" applyBorder="1"/>
    <xf numFmtId="14" fontId="12" fillId="0" borderId="6" xfId="0" applyNumberFormat="1" applyFont="1" applyFill="1" applyBorder="1" applyAlignment="1">
      <alignment horizontal="center" vertical="center" wrapText="1"/>
    </xf>
    <xf numFmtId="0" fontId="3" fillId="0" borderId="6" xfId="0" applyFont="1" applyFill="1" applyBorder="1" applyAlignment="1">
      <alignment horizontal="center" vertical="center" wrapText="1"/>
    </xf>
    <xf numFmtId="14" fontId="12" fillId="0" borderId="8"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xf>
    <xf numFmtId="14" fontId="1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3" xfId="0" applyFont="1" applyFill="1" applyBorder="1"/>
    <xf numFmtId="0" fontId="3" fillId="0" borderId="1" xfId="0" applyFont="1" applyFill="1" applyBorder="1"/>
    <xf numFmtId="0" fontId="3" fillId="0" borderId="16" xfId="0" applyFont="1" applyFill="1" applyBorder="1"/>
    <xf numFmtId="14" fontId="3" fillId="0" borderId="18" xfId="0" applyNumberFormat="1" applyFont="1" applyFill="1" applyBorder="1" applyAlignment="1">
      <alignment horizontal="center" vertical="center"/>
    </xf>
    <xf numFmtId="14" fontId="3" fillId="0" borderId="6"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0" fontId="3" fillId="0" borderId="16" xfId="0" applyFont="1" applyFill="1" applyBorder="1" applyAlignment="1">
      <alignment horizontal="center" vertical="center"/>
    </xf>
    <xf numFmtId="14" fontId="12" fillId="0" borderId="18" xfId="0" applyNumberFormat="1" applyFont="1" applyFill="1" applyBorder="1" applyAlignment="1">
      <alignment horizontal="center" vertical="center" wrapText="1"/>
    </xf>
    <xf numFmtId="14" fontId="12" fillId="0" borderId="13" xfId="0" applyNumberFormat="1" applyFont="1" applyFill="1" applyBorder="1" applyAlignment="1">
      <alignment horizontal="center" vertical="center" wrapText="1"/>
    </xf>
    <xf numFmtId="14" fontId="12" fillId="0" borderId="14" xfId="0" applyNumberFormat="1" applyFont="1" applyFill="1" applyBorder="1" applyAlignment="1">
      <alignment horizontal="center" vertical="center" wrapText="1"/>
    </xf>
    <xf numFmtId="0" fontId="3" fillId="0" borderId="14" xfId="0" applyFont="1" applyFill="1" applyBorder="1"/>
    <xf numFmtId="0" fontId="3" fillId="3" borderId="0" xfId="0" applyFont="1" applyFill="1" applyAlignment="1">
      <alignment horizontal="center" vertical="center" wrapText="1"/>
    </xf>
    <xf numFmtId="0" fontId="15" fillId="3" borderId="6" xfId="1" applyFont="1" applyFill="1" applyBorder="1" applyAlignment="1">
      <alignment horizontal="center" vertical="center" wrapText="1"/>
    </xf>
    <xf numFmtId="0" fontId="15" fillId="3" borderId="8" xfId="1" applyFont="1" applyFill="1" applyBorder="1" applyAlignment="1">
      <alignment horizontal="center" vertical="center" wrapText="1"/>
    </xf>
    <xf numFmtId="0" fontId="15" fillId="3" borderId="4" xfId="1" applyFont="1" applyFill="1" applyBorder="1" applyAlignment="1">
      <alignment horizontal="center" vertical="center" wrapText="1"/>
    </xf>
    <xf numFmtId="0" fontId="15" fillId="3" borderId="1" xfId="1" applyFont="1" applyFill="1" applyBorder="1" applyAlignment="1">
      <alignment horizontal="center" vertical="center" wrapText="1"/>
    </xf>
    <xf numFmtId="0" fontId="3" fillId="3" borderId="8" xfId="0" applyFont="1" applyFill="1" applyBorder="1" applyAlignment="1">
      <alignment horizontal="center" vertical="center" wrapText="1"/>
    </xf>
    <xf numFmtId="0" fontId="15" fillId="3" borderId="16" xfId="1"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15" fillId="3" borderId="18" xfId="1" applyFont="1" applyFill="1" applyBorder="1" applyAlignment="1">
      <alignment horizontal="center" vertical="center" wrapText="1"/>
    </xf>
    <xf numFmtId="0" fontId="15" fillId="3" borderId="13" xfId="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15" fillId="3" borderId="20" xfId="1" applyFont="1" applyFill="1" applyBorder="1" applyAlignment="1">
      <alignment horizontal="center" vertical="center" wrapText="1"/>
    </xf>
    <xf numFmtId="0" fontId="15" fillId="3" borderId="22" xfId="1" applyFont="1" applyFill="1" applyBorder="1" applyAlignment="1">
      <alignment horizontal="center" vertical="center" wrapText="1"/>
    </xf>
    <xf numFmtId="0" fontId="15" fillId="3" borderId="21" xfId="1" applyFont="1" applyFill="1" applyBorder="1" applyAlignment="1">
      <alignment horizontal="center" vertical="center" wrapText="1"/>
    </xf>
    <xf numFmtId="0" fontId="15" fillId="3" borderId="14" xfId="1" applyFont="1" applyFill="1" applyBorder="1" applyAlignment="1">
      <alignment horizontal="center" vertical="center" wrapText="1"/>
    </xf>
    <xf numFmtId="0" fontId="13" fillId="0" borderId="23" xfId="0" applyFont="1" applyBorder="1" applyAlignment="1">
      <alignment horizontal="center" vertical="center"/>
    </xf>
    <xf numFmtId="0" fontId="12" fillId="0" borderId="23" xfId="0" applyFont="1" applyBorder="1" applyAlignment="1">
      <alignment horizontal="center" vertical="center"/>
    </xf>
    <xf numFmtId="0" fontId="12" fillId="0" borderId="23" xfId="0" applyFont="1" applyBorder="1" applyAlignment="1">
      <alignment horizontal="left" vertical="center" wrapText="1"/>
    </xf>
    <xf numFmtId="0" fontId="12" fillId="0" borderId="23" xfId="0" applyFont="1" applyBorder="1" applyAlignment="1">
      <alignment horizontal="center" vertical="center" wrapText="1"/>
    </xf>
    <xf numFmtId="1" fontId="12" fillId="0" borderId="23" xfId="0" applyNumberFormat="1" applyFont="1" applyBorder="1" applyAlignment="1">
      <alignment horizontal="right" vertical="center" wrapText="1"/>
    </xf>
    <xf numFmtId="14" fontId="12" fillId="0" borderId="23" xfId="0" applyNumberFormat="1" applyFont="1" applyFill="1" applyBorder="1" applyAlignment="1">
      <alignment horizontal="center" vertical="center"/>
    </xf>
    <xf numFmtId="0" fontId="12" fillId="0" borderId="23" xfId="0" applyFont="1" applyFill="1" applyBorder="1" applyAlignment="1">
      <alignment horizontal="center" vertical="center"/>
    </xf>
    <xf numFmtId="14" fontId="12" fillId="0" borderId="23" xfId="0" applyNumberFormat="1" applyFont="1" applyFill="1" applyBorder="1" applyAlignment="1">
      <alignment horizontal="center" vertical="center" wrapText="1"/>
    </xf>
    <xf numFmtId="0" fontId="3" fillId="0" borderId="23" xfId="0" applyFont="1" applyFill="1" applyBorder="1"/>
    <xf numFmtId="0" fontId="15" fillId="0" borderId="23" xfId="1" applyFont="1" applyFill="1" applyBorder="1" applyAlignment="1">
      <alignment horizontal="center" vertical="center" wrapText="1"/>
    </xf>
    <xf numFmtId="0" fontId="0" fillId="0" borderId="0" xfId="0" applyFill="1"/>
    <xf numFmtId="0" fontId="3" fillId="0" borderId="0" xfId="0" applyFont="1" applyFill="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Evidencia%20fotografica\Fotos%20concentrado\PARTIDA%2027%20Lote%20250665.jpeg" TargetMode="External"/><Relationship Id="rId21" Type="http://schemas.openxmlformats.org/officeDocument/2006/relationships/hyperlink" Target="Evidencia%20fotografica\Fotos%20concentrado\PARTIDA%2023%20Lote%2020221%20y%20%20Lote%2021842.jpeg" TargetMode="External"/><Relationship Id="rId42" Type="http://schemas.openxmlformats.org/officeDocument/2006/relationships/hyperlink" Target="Evidencia%20fotografica\Fotos%20concentrado\PARTIDA%2056%20Lote%202506136.jpeg" TargetMode="External"/><Relationship Id="rId63" Type="http://schemas.openxmlformats.org/officeDocument/2006/relationships/hyperlink" Target="Evidencia%20fotografica\Fotos%20concentrado\PARTIDA%2087%20Lote%20360725.jpeg" TargetMode="External"/><Relationship Id="rId84" Type="http://schemas.openxmlformats.org/officeDocument/2006/relationships/hyperlink" Target="Evidencia%20fotografica\Fotos%20concentrado\PARTIDA%2062%20Lote%20SA2550.jpeg" TargetMode="External"/><Relationship Id="rId138" Type="http://schemas.openxmlformats.org/officeDocument/2006/relationships/hyperlink" Target="Evidencia%20fotografica\Fotos%20concentrado\PARTIDA%2043%20Lote%2019186.jpeg" TargetMode="External"/><Relationship Id="rId107" Type="http://schemas.openxmlformats.org/officeDocument/2006/relationships/hyperlink" Target="Evidencia%20fotografica\Fotos%20concentrado\PARTIDA%2056%20Lote%202506139.jpeg" TargetMode="External"/><Relationship Id="rId11" Type="http://schemas.openxmlformats.org/officeDocument/2006/relationships/hyperlink" Target="Evidencia%20fotografica\Fotos%20concentrado\PARTIDA%2014%20Lote%20XC2549.jpeg" TargetMode="External"/><Relationship Id="rId32" Type="http://schemas.openxmlformats.org/officeDocument/2006/relationships/hyperlink" Target="Evidencia%20fotografica\Fotos%20concentrado\partida%2041%20Lote%20SH524.jpeg" TargetMode="External"/><Relationship Id="rId53" Type="http://schemas.openxmlformats.org/officeDocument/2006/relationships/hyperlink" Target="Evidencia%20fotografica\Fotos%20concentrado\PARTIDA%2066%20Lote%20S24T304.jpeg" TargetMode="External"/><Relationship Id="rId74" Type="http://schemas.openxmlformats.org/officeDocument/2006/relationships/hyperlink" Target="Evidencia%20fotografica\Fotos%20concentrado\PARTIDA%2098%20Lote%20LC2515.jpeg" TargetMode="External"/><Relationship Id="rId128" Type="http://schemas.openxmlformats.org/officeDocument/2006/relationships/hyperlink" Target="Evidencia%20fotografica\Fotos%20concentrado\PARTIDA%2034%20Lote%20SD25101.jpeg" TargetMode="External"/><Relationship Id="rId5" Type="http://schemas.openxmlformats.org/officeDocument/2006/relationships/hyperlink" Target="Evidencia%20fotografica\Fotos%20concentrado\PARTIDA%207%20Lote%20I25Y073.jpeg" TargetMode="External"/><Relationship Id="rId90" Type="http://schemas.openxmlformats.org/officeDocument/2006/relationships/hyperlink" Target="Evidencia%20fotografica\Fotos%20concentrado\PARTIDA%203%20Lote%20Q0325187.jpeg" TargetMode="External"/><Relationship Id="rId95" Type="http://schemas.openxmlformats.org/officeDocument/2006/relationships/hyperlink" Target="Evidencia%20fotografica\Fotos%20concentrado\PARTIDA%2037%20Lote%20B25J504.jpeg" TargetMode="External"/><Relationship Id="rId22" Type="http://schemas.openxmlformats.org/officeDocument/2006/relationships/hyperlink" Target="Evidencia%20fotografica\Fotos%20concentrado\PARTIDA%2024%20Lote%20B25J200.jpeg" TargetMode="External"/><Relationship Id="rId27" Type="http://schemas.openxmlformats.org/officeDocument/2006/relationships/hyperlink" Target="Evidencia%20fotografica\Fotos%20concentrado\PARTIDA%2035%20Lote%202508950.jpeg" TargetMode="External"/><Relationship Id="rId43" Type="http://schemas.openxmlformats.org/officeDocument/2006/relationships/hyperlink" Target="Evidencia%20fotografica\Fotos%20concentrado\PARTIDA%2058%20Lote%20253244.jpeg" TargetMode="External"/><Relationship Id="rId48" Type="http://schemas.openxmlformats.org/officeDocument/2006/relationships/hyperlink" Target="Evidencia%20fotografica\Fotos%20concentrado\PARTIDA%2066%20%20Lote%20S24A006.jpeg" TargetMode="External"/><Relationship Id="rId64" Type="http://schemas.openxmlformats.org/officeDocument/2006/relationships/hyperlink" Target="Evidencia%20fotografica\Fotos%20concentrado\PARTIDA%2088%20Lote%203930725.jpeg" TargetMode="External"/><Relationship Id="rId69" Type="http://schemas.openxmlformats.org/officeDocument/2006/relationships/hyperlink" Target="Evidencia%20fotografica\Fotos%20concentrado\PARTIDA%2047%20Lote%205G1252.jpeg" TargetMode="External"/><Relationship Id="rId113" Type="http://schemas.openxmlformats.org/officeDocument/2006/relationships/hyperlink" Target="Evidencia%20fotografica\Fotos%20concentrado\PARTIDA%2046%20Lote%20CH2501.jpeg" TargetMode="External"/><Relationship Id="rId118" Type="http://schemas.openxmlformats.org/officeDocument/2006/relationships/hyperlink" Target="Evidencia%20fotografica\Fotos%20concentrado\PARTIDA%2084%20Lote%2051770.jpeg" TargetMode="External"/><Relationship Id="rId134" Type="http://schemas.openxmlformats.org/officeDocument/2006/relationships/hyperlink" Target="Evidencia%20fotografica\Fotos%20concentrado\PARTIDA%2057%20Lote%2025140952.jpeg" TargetMode="External"/><Relationship Id="rId139" Type="http://schemas.openxmlformats.org/officeDocument/2006/relationships/hyperlink" Target="Evidencia%20fotografica\Fotos%20concentrado\PARTIDA%2034%20Lote%20SD25104.jpeg" TargetMode="External"/><Relationship Id="rId80" Type="http://schemas.openxmlformats.org/officeDocument/2006/relationships/hyperlink" Target="Evidencia%20fotografica\Fotos%20concentrado\PARTIDA%208%20Lote%20T0285.jpeg" TargetMode="External"/><Relationship Id="rId85" Type="http://schemas.openxmlformats.org/officeDocument/2006/relationships/hyperlink" Target="Evidencia%20fotografica\Fotos%20concentrado\PARTIDA%2062%20Lote%20SF2527.jpeg" TargetMode="External"/><Relationship Id="rId12" Type="http://schemas.openxmlformats.org/officeDocument/2006/relationships/hyperlink" Target="Evidencia%20fotografica\Fotos%20concentrado\PARTIDA%2015%20Lote%2019792.jpeg" TargetMode="External"/><Relationship Id="rId17" Type="http://schemas.openxmlformats.org/officeDocument/2006/relationships/hyperlink" Target="Evidencia%20fotografica\Fotos%20concentrado\PARTIDA%2016%20Lote%20197075.jpeg" TargetMode="External"/><Relationship Id="rId33" Type="http://schemas.openxmlformats.org/officeDocument/2006/relationships/hyperlink" Target="Evidencia%20fotografica\Fotos%20concentrado\PARTIDA%2045%20Lote%2025288P.jpeg" TargetMode="External"/><Relationship Id="rId38" Type="http://schemas.openxmlformats.org/officeDocument/2006/relationships/hyperlink" Target="Evidencia%20fotografica\Fotos%20concentrado\PARTIDA%2052%20Lote%20%20427871.jpeg" TargetMode="External"/><Relationship Id="rId59" Type="http://schemas.openxmlformats.org/officeDocument/2006/relationships/hyperlink" Target="Evidencia%20fotografica\Fotos%20concentrado\PARTIDA%2079%20Lote%20250503.jpeg" TargetMode="External"/><Relationship Id="rId103" Type="http://schemas.openxmlformats.org/officeDocument/2006/relationships/hyperlink" Target="Evidencia%20fotografica\Fotos%20concentrado\PARTIDA%2029%20Lote%20B25F404.jpeg" TargetMode="External"/><Relationship Id="rId108" Type="http://schemas.openxmlformats.org/officeDocument/2006/relationships/hyperlink" Target="Evidencia%20fotografica\Fotos%20concentrado\PARTIDA%202%20Lote%20B2507316.jpeg" TargetMode="External"/><Relationship Id="rId124" Type="http://schemas.openxmlformats.org/officeDocument/2006/relationships/hyperlink" Target="Evidencia%20fotografica\Fotos%20concentrado\PARTIDA%2042%20Lote%20SD2509.jpeg" TargetMode="External"/><Relationship Id="rId129" Type="http://schemas.openxmlformats.org/officeDocument/2006/relationships/hyperlink" Target="Evidencia%20fotografica\Fotos%20concentrado\PARTIDA%2030%20Lote%20251808.jpeg" TargetMode="External"/><Relationship Id="rId54" Type="http://schemas.openxmlformats.org/officeDocument/2006/relationships/hyperlink" Target="Evidencia%20fotografica\Fotos%20concentrado\PARTIDA%2067%20Lote%205JN212A.jpeg" TargetMode="External"/><Relationship Id="rId70" Type="http://schemas.openxmlformats.org/officeDocument/2006/relationships/hyperlink" Target="Evidencia%20fotografica\Fotos%20concentrado\PARTIDA%2035%20Lote%202502736.jpeg" TargetMode="External"/><Relationship Id="rId75" Type="http://schemas.openxmlformats.org/officeDocument/2006/relationships/hyperlink" Target="Evidencia%20fotografica\Fotos%20concentrado\PARTIDA%2081%20Lote%20AS25006.jpeg" TargetMode="External"/><Relationship Id="rId91" Type="http://schemas.openxmlformats.org/officeDocument/2006/relationships/hyperlink" Target="Evidencia%20fotografica\Fotos%20concentrado\PARTIDA%203%20&#209;Lote%20Q0425226.jpeg" TargetMode="External"/><Relationship Id="rId96" Type="http://schemas.openxmlformats.org/officeDocument/2006/relationships/hyperlink" Target="Evidencia%20fotografica\Fotos%20concentrado\PARTIDA%2083%20Lote%20R2505672.jpeg" TargetMode="External"/><Relationship Id="rId140" Type="http://schemas.openxmlformats.org/officeDocument/2006/relationships/hyperlink" Target="Evidencia%20fotografica\Fotos%20concentrado\PARTIDA%2019%20Lote%2025135.jpeg" TargetMode="External"/><Relationship Id="rId145" Type="http://schemas.openxmlformats.org/officeDocument/2006/relationships/hyperlink" Target="Evidencia%20fotografica\Fotos%20concentrado\PARTIDA%2076%20Lote%20251195.jpeg" TargetMode="External"/><Relationship Id="rId1" Type="http://schemas.openxmlformats.org/officeDocument/2006/relationships/hyperlink" Target="Evidencia%20fotografica\Fotos%20concentrado\PARTIDA%201%20Lote%2025103022.jpeg" TargetMode="External"/><Relationship Id="rId6" Type="http://schemas.openxmlformats.org/officeDocument/2006/relationships/hyperlink" Target="Evidencia%20fotografica\Fotos%20concentrado\PARTIDA%208%20Lote%20T0509.jpeg" TargetMode="External"/><Relationship Id="rId23" Type="http://schemas.openxmlformats.org/officeDocument/2006/relationships/hyperlink" Target="Evidencia%20fotografica\Fotos%20concentrado\PARTIDA%2024%20Lote%20B25Y506.jpeg" TargetMode="External"/><Relationship Id="rId28" Type="http://schemas.openxmlformats.org/officeDocument/2006/relationships/hyperlink" Target="Evidencia%20fotografica\Fotos%20concentrado\PARTIDA%2036%20Lote%2025Y027.jpeg" TargetMode="External"/><Relationship Id="rId49" Type="http://schemas.openxmlformats.org/officeDocument/2006/relationships/hyperlink" Target="Evidencia%20fotografica\Fotos%20concentrado\PARTIDA%2066%20%20Lote%20S24A006.jpeg" TargetMode="External"/><Relationship Id="rId114" Type="http://schemas.openxmlformats.org/officeDocument/2006/relationships/hyperlink" Target="Evidencia%20fotografica\Fotos%20concentrado\PARTIDA%2046%20Lote%20CH2501.jpeg" TargetMode="External"/><Relationship Id="rId119" Type="http://schemas.openxmlformats.org/officeDocument/2006/relationships/hyperlink" Target="Evidencia%20fotografica\Fotos%20concentrado\PARTIDA%2021%20Lote%20U25A468.jpeg" TargetMode="External"/><Relationship Id="rId44" Type="http://schemas.openxmlformats.org/officeDocument/2006/relationships/hyperlink" Target="Evidencia%20fotografica\Fotos%20concentrado\PARTIDA%2063%20Lote%20U25J025.jpeg" TargetMode="External"/><Relationship Id="rId60" Type="http://schemas.openxmlformats.org/officeDocument/2006/relationships/hyperlink" Target="Evidencia%20fotografica\Fotos%20concentrado\PARTIDA%2080%20Lote%202506185.jpeg" TargetMode="External"/><Relationship Id="rId65" Type="http://schemas.openxmlformats.org/officeDocument/2006/relationships/hyperlink" Target="Evidencia%20fotografica\Fotos%20concentrado\PARTIDA%2089%20Lote%200206B25.jpeg" TargetMode="External"/><Relationship Id="rId81" Type="http://schemas.openxmlformats.org/officeDocument/2006/relationships/hyperlink" Target="Evidencia%20fotografica\Fotos%20concentrado\PARTIDA%2013%20Lote%20SDM3208.jpeg" TargetMode="External"/><Relationship Id="rId86" Type="http://schemas.openxmlformats.org/officeDocument/2006/relationships/hyperlink" Target="Evidencia%20fotografica\Fotos%20concentrado\PARTIDA%202%20Lote%2024240630.jpeg" TargetMode="External"/><Relationship Id="rId130" Type="http://schemas.openxmlformats.org/officeDocument/2006/relationships/hyperlink" Target="Evidencia%20fotografica\Fotos%20concentrado\PARTIDA%2029%20Lote%20B24T401.jpeg" TargetMode="External"/><Relationship Id="rId135" Type="http://schemas.openxmlformats.org/officeDocument/2006/relationships/hyperlink" Target="Evidencia%20fotografica\Fotos%20concentrado\PARTIDA%2065%20Lote%20251010.jpeg" TargetMode="External"/><Relationship Id="rId13" Type="http://schemas.openxmlformats.org/officeDocument/2006/relationships/hyperlink" Target="Evidencia%20fotografica\Fotos%20concentrado\PARTIDA%2015%20Lote%2022771.jpeg" TargetMode="External"/><Relationship Id="rId18" Type="http://schemas.openxmlformats.org/officeDocument/2006/relationships/hyperlink" Target="Evidencia%20fotografica\Fotos%20concentrado\PARTIDA%2021%20Lote%20U25A468.jpeg" TargetMode="External"/><Relationship Id="rId39" Type="http://schemas.openxmlformats.org/officeDocument/2006/relationships/hyperlink" Target="Evidencia%20fotografica\Fotos%20concentrado\PARTIDA%2052%20Lote%20%20432546.jpeg" TargetMode="External"/><Relationship Id="rId109" Type="http://schemas.openxmlformats.org/officeDocument/2006/relationships/hyperlink" Target="Evidencia%20fotografica\Fotos%20concentrado\PARTIDA%2037%20Lote%20B25J505.jpeg" TargetMode="External"/><Relationship Id="rId34" Type="http://schemas.openxmlformats.org/officeDocument/2006/relationships/hyperlink" Target="Evidencia%20fotografica\Fotos%20concentrado\PARTIDA%2047%20Lote%205G1252.jpeg" TargetMode="External"/><Relationship Id="rId50" Type="http://schemas.openxmlformats.org/officeDocument/2006/relationships/hyperlink" Target="Evidencia%20fotografica\Fotos%20concentrado\PARTIDA%2066%20Lote%20S25F479.jpeg" TargetMode="External"/><Relationship Id="rId55" Type="http://schemas.openxmlformats.org/officeDocument/2006/relationships/hyperlink" Target="Evidencia%20fotografica\Fotos%20concentrado\PARTIDA%2068%20Lote%20V25E20K.jpeg" TargetMode="External"/><Relationship Id="rId76" Type="http://schemas.openxmlformats.org/officeDocument/2006/relationships/hyperlink" Target="Evidencia%20fotografica\Fotos%20concentrado\PARTIDA%2055%20Lote%20251026.jpeg" TargetMode="External"/><Relationship Id="rId97" Type="http://schemas.openxmlformats.org/officeDocument/2006/relationships/hyperlink" Target="Evidencia%20fotografica\Fotos%20concentrado\PARTIDA%2091%20Lote%2025020118.jpeg" TargetMode="External"/><Relationship Id="rId104" Type="http://schemas.openxmlformats.org/officeDocument/2006/relationships/hyperlink" Target="Evidencia%20fotografica\Fotos%20concentrado\PARTIDA%2017%20Lote%20PP8061.jpeg" TargetMode="External"/><Relationship Id="rId120" Type="http://schemas.openxmlformats.org/officeDocument/2006/relationships/hyperlink" Target="Evidencia%20fotografica\Fotos%20concentrado\PARTIDA%2055%20Lote%20251920.jpeg" TargetMode="External"/><Relationship Id="rId125" Type="http://schemas.openxmlformats.org/officeDocument/2006/relationships/hyperlink" Target="Evidencia%20fotografica\Fotos%20concentrado\PARTIDA%2086%20Lote%20RFN045.jpeg" TargetMode="External"/><Relationship Id="rId141" Type="http://schemas.openxmlformats.org/officeDocument/2006/relationships/hyperlink" Target="Evidencia%20fotografica\Fotos%20concentrado\PARTIDA%2073%20Lote%20RCN064.jpeg" TargetMode="External"/><Relationship Id="rId146" Type="http://schemas.openxmlformats.org/officeDocument/2006/relationships/hyperlink" Target="Evidencia%20fotografica\Fotos%20concentrado\PARTIDA%2076%20Lote%20251208.jpeg" TargetMode="External"/><Relationship Id="rId7" Type="http://schemas.openxmlformats.org/officeDocument/2006/relationships/hyperlink" Target="Evidencia%20fotografica\Fotos%20concentrado\PARTIDA%2010%20Lote%20254541.jpeg" TargetMode="External"/><Relationship Id="rId71" Type="http://schemas.openxmlformats.org/officeDocument/2006/relationships/hyperlink" Target="Evidencia%20fotografica\Fotos%20concentrado\PARTIDA%2060%20Lote%20BDL050.jpeg" TargetMode="External"/><Relationship Id="rId92" Type="http://schemas.openxmlformats.org/officeDocument/2006/relationships/hyperlink" Target="Evidencia%20fotografica\Fotos%20concentrado\PARTIDA%204%20Lote%20Q0325183.jpeg" TargetMode="External"/><Relationship Id="rId2" Type="http://schemas.openxmlformats.org/officeDocument/2006/relationships/hyperlink" Target="Evidencia%20fotografica\Fotos%20concentrado\PARTIDA%201%20Lote%2025072052.jpeg" TargetMode="External"/><Relationship Id="rId29" Type="http://schemas.openxmlformats.org/officeDocument/2006/relationships/hyperlink" Target="Evidencia%20fotografica\Fotos%20concentrado\PARTIDA%2037%20Lote%20B25Y500.jpeg" TargetMode="External"/><Relationship Id="rId24" Type="http://schemas.openxmlformats.org/officeDocument/2006/relationships/hyperlink" Target="Evidencia%20fotografica\Fotos%20concentrado\PARTIDA%2028%20Lote%2023037.jpeg" TargetMode="External"/><Relationship Id="rId40" Type="http://schemas.openxmlformats.org/officeDocument/2006/relationships/hyperlink" Target="Evidencia%20fotografica\Fotos%20concentrado\PARTIDA%2054%20Lote%20U25U090.jpeg" TargetMode="External"/><Relationship Id="rId45" Type="http://schemas.openxmlformats.org/officeDocument/2006/relationships/hyperlink" Target="Evidencia%20fotografica\Fotos%20concentrado\PARTIDA%2064%20Lote%20250840.jpeg" TargetMode="External"/><Relationship Id="rId66" Type="http://schemas.openxmlformats.org/officeDocument/2006/relationships/hyperlink" Target="Evidencia%20fotografica\Fotos%20concentrado\PARTIDA%2094%20Lote%20S4559.jpeg" TargetMode="External"/><Relationship Id="rId87" Type="http://schemas.openxmlformats.org/officeDocument/2006/relationships/hyperlink" Target="Evidencia%20fotografica\Fotos%20concentrado\PARTIDA%2067%20Lote%205GN194B.jpeg" TargetMode="External"/><Relationship Id="rId110" Type="http://schemas.openxmlformats.org/officeDocument/2006/relationships/hyperlink" Target="Evidencia%20fotografica\Fotos%20concentrado\PARTIDA%2012%20Lote%20B25M505.jpeg" TargetMode="External"/><Relationship Id="rId115" Type="http://schemas.openxmlformats.org/officeDocument/2006/relationships/hyperlink" Target="Evidencia%20fotografica\Fotos%20concentrado\PARTIDA%2096%20Lote%20LG2501.jpeg" TargetMode="External"/><Relationship Id="rId131" Type="http://schemas.openxmlformats.org/officeDocument/2006/relationships/hyperlink" Target="Evidencia%20fotografica\Fotos%20concentrado\PARTIDA%2021%20Lote%20U25M374.jpeg" TargetMode="External"/><Relationship Id="rId136" Type="http://schemas.openxmlformats.org/officeDocument/2006/relationships/hyperlink" Target="Evidencia%20fotografica\Fotos%20concentrado\PARTIDA%2049%20Lote%205040594.jpeg" TargetMode="External"/><Relationship Id="rId61" Type="http://schemas.openxmlformats.org/officeDocument/2006/relationships/hyperlink" Target="Evidencia%20fotografica\Fotos%20concentrado\PARTIDA%2082%20Lote%20U25U469.jpeg" TargetMode="External"/><Relationship Id="rId82" Type="http://schemas.openxmlformats.org/officeDocument/2006/relationships/hyperlink" Target="Evidencia%20fotografica\Fotos%20concentrado\PARTIDA%2073%20Lote%20BG25001.jpeg" TargetMode="External"/><Relationship Id="rId19" Type="http://schemas.openxmlformats.org/officeDocument/2006/relationships/hyperlink" Target="Evidencia%20fotografica\Fotos%20concentrado\PARTIDA%2023%20Lote%2022816.jpeg" TargetMode="External"/><Relationship Id="rId14" Type="http://schemas.openxmlformats.org/officeDocument/2006/relationships/hyperlink" Target="Evidencia%20fotografica\Fotos%20concentrado\PARTIDA%2015%20Lote%2022772.jpeg" TargetMode="External"/><Relationship Id="rId30" Type="http://schemas.openxmlformats.org/officeDocument/2006/relationships/hyperlink" Target="Evidencia%20fotografica\Fotos%20concentrado\PARTIDA%2039%20Lote%2025061672.jpeg" TargetMode="External"/><Relationship Id="rId35" Type="http://schemas.openxmlformats.org/officeDocument/2006/relationships/hyperlink" Target="Evidencia%20fotografica\Fotos%20concentrado\PARTIDA%2048%20Lote%2025554.jpeg" TargetMode="External"/><Relationship Id="rId56" Type="http://schemas.openxmlformats.org/officeDocument/2006/relationships/hyperlink" Target="Evidencia%20fotografica\Fotos%20concentrado\PARTIDA%2069%20Lote%20V25E26A.jpeg" TargetMode="External"/><Relationship Id="rId77" Type="http://schemas.openxmlformats.org/officeDocument/2006/relationships/hyperlink" Target="Evidencia%20fotografica\Fotos%20concentrado\PARTIDA%2065%20Lote%20251009.jpeg" TargetMode="External"/><Relationship Id="rId100" Type="http://schemas.openxmlformats.org/officeDocument/2006/relationships/hyperlink" Target="Evidencia%20fotografica\Fotos%20concentrado\PARTIDA%204%20Lote%20Q0425289.jpeg" TargetMode="External"/><Relationship Id="rId105" Type="http://schemas.openxmlformats.org/officeDocument/2006/relationships/hyperlink" Target="Evidencia%20fotografica\Fotos%20concentrado\PARTIDA%2034%20Lote%20SD25071.jpeg" TargetMode="External"/><Relationship Id="rId126" Type="http://schemas.openxmlformats.org/officeDocument/2006/relationships/hyperlink" Target="Evidencia%20fotografica\Fotos%20concentrado\PARTIDA%2053%20LoteJ24N045.jpeg" TargetMode="External"/><Relationship Id="rId147" Type="http://schemas.openxmlformats.org/officeDocument/2006/relationships/vmlDrawing" Target="../drawings/vmlDrawing1.vml"/><Relationship Id="rId8" Type="http://schemas.openxmlformats.org/officeDocument/2006/relationships/hyperlink" Target="Evidencia%20fotografica\Fotos%20concentrado\PARTIDA%2011%20Lote%205BM291A.jpeg" TargetMode="External"/><Relationship Id="rId51" Type="http://schemas.openxmlformats.org/officeDocument/2006/relationships/hyperlink" Target="Evidencia%20fotografica\Fotos%20concentrado\PARTIDA%2066%20Lote%20S24N353.jpeg" TargetMode="External"/><Relationship Id="rId72" Type="http://schemas.openxmlformats.org/officeDocument/2006/relationships/hyperlink" Target="Evidencia%20fotografica\Fotos%20concentrado\PARTIDA%2060%20Lote%20BED046.jpeg" TargetMode="External"/><Relationship Id="rId93" Type="http://schemas.openxmlformats.org/officeDocument/2006/relationships/hyperlink" Target="Evidencia%20fotografica\Fotos%20concentrado\PARTIDA%204%20Lote%20Q525401.jpeg" TargetMode="External"/><Relationship Id="rId98" Type="http://schemas.openxmlformats.org/officeDocument/2006/relationships/hyperlink" Target="Evidencia%20fotografica\Fotos%20concentrado\PARTIDA%2036%20Lote%2025J020.jpeg" TargetMode="External"/><Relationship Id="rId121" Type="http://schemas.openxmlformats.org/officeDocument/2006/relationships/hyperlink" Target="Evidencia%20fotografica\Fotos%20concentrado\PARTIDA%208%20Lote%20T0509.jpeg" TargetMode="External"/><Relationship Id="rId142" Type="http://schemas.openxmlformats.org/officeDocument/2006/relationships/hyperlink" Target="Evidencia%20fotografica\Fotos%20concentrado\PARTIDA%2057%20Lote%2025141394.jpeg" TargetMode="External"/><Relationship Id="rId3" Type="http://schemas.openxmlformats.org/officeDocument/2006/relationships/hyperlink" Target="Evidencia%20fotografica\Fotos%20concentrado\PARTIDA%205%20Lote%20250800.jpeg" TargetMode="External"/><Relationship Id="rId25" Type="http://schemas.openxmlformats.org/officeDocument/2006/relationships/hyperlink" Target="Evidencia%20fotografica\Fotos%20concentrado\PARTIDA%2028%20Lote%2023482.jpeg" TargetMode="External"/><Relationship Id="rId46" Type="http://schemas.openxmlformats.org/officeDocument/2006/relationships/hyperlink" Target="Evidencia%20fotografica\Fotos%20concentrado\PARTIDA%2066%20Lote%20S23S739.jpeg" TargetMode="External"/><Relationship Id="rId67" Type="http://schemas.openxmlformats.org/officeDocument/2006/relationships/hyperlink" Target="Evidencia%20fotografica\Fotos%20concentrado\PARTIDA%2092%20Lote%205DN377B.jpeg" TargetMode="External"/><Relationship Id="rId116" Type="http://schemas.openxmlformats.org/officeDocument/2006/relationships/hyperlink" Target="Evidencia%20fotografica\Fotos%20concentrado\PARTIDA%2096%20Lote%20LG2501.jpeg" TargetMode="External"/><Relationship Id="rId137" Type="http://schemas.openxmlformats.org/officeDocument/2006/relationships/hyperlink" Target="Evidencia%20fotografica\Fotos%20concentrado\PARTIDA%2049%20Lote%205040514.jpeg" TargetMode="External"/><Relationship Id="rId20" Type="http://schemas.openxmlformats.org/officeDocument/2006/relationships/hyperlink" Target="Evidencia%20fotografica\Fotos%20concentrado\PARTIDA%2023%20Lote%2020221%20y%20%20Lote%2021842.jpeg" TargetMode="External"/><Relationship Id="rId41" Type="http://schemas.openxmlformats.org/officeDocument/2006/relationships/hyperlink" Target="Evidencia%20fotografica\Fotos%20concentrado\PARTIDA%2055%20Lote%20251920.jpeg" TargetMode="External"/><Relationship Id="rId62" Type="http://schemas.openxmlformats.org/officeDocument/2006/relationships/hyperlink" Target="Evidencia%20fotografica\Fotos%20concentrado\PARTIDA%2086%20Lote%20RFN045.jpeg" TargetMode="External"/><Relationship Id="rId83" Type="http://schemas.openxmlformats.org/officeDocument/2006/relationships/hyperlink" Target="Evidencia%20fotografica\Fotos%20concentrado\PARTIDA%2018%20Lote%205040554.jpeg" TargetMode="External"/><Relationship Id="rId88" Type="http://schemas.openxmlformats.org/officeDocument/2006/relationships/hyperlink" Target="Evidencia%20fotografica\Fotos%20concentrado\PARTIDA%205%20Lote%20250595.jpeg" TargetMode="External"/><Relationship Id="rId111" Type="http://schemas.openxmlformats.org/officeDocument/2006/relationships/hyperlink" Target="Evidencia%20fotografica\Fotos%20concentrado\PARTIDA%2018%20Lote%20BH25004.jpeg" TargetMode="External"/><Relationship Id="rId132" Type="http://schemas.openxmlformats.org/officeDocument/2006/relationships/hyperlink" Target="Evidencia%20fotografica\Fotos%20concentrado\PARTIDA%2021%20Lote%20U25J399.jpeg" TargetMode="External"/><Relationship Id="rId15" Type="http://schemas.openxmlformats.org/officeDocument/2006/relationships/hyperlink" Target="Evidencia%20fotografica\Fotos%20concentrado\PARTIDA%2015%20Lote%2018285.jpeg" TargetMode="External"/><Relationship Id="rId36" Type="http://schemas.openxmlformats.org/officeDocument/2006/relationships/hyperlink" Target="Evidencia%20fotografica\Fotos%20concentrado\PARTIDA%2048%20Lote%2025431.jpeg" TargetMode="External"/><Relationship Id="rId57" Type="http://schemas.openxmlformats.org/officeDocument/2006/relationships/hyperlink" Target="Evidencia%20fotografica\Fotos%20concentrado\PARTIDA%2077%20Lote%20251143.jpeg" TargetMode="External"/><Relationship Id="rId106" Type="http://schemas.openxmlformats.org/officeDocument/2006/relationships/hyperlink" Target="Evidencia%20fotografica\Fotos%20concentrado\PARTIDA%2031%20Lote%20224085.jpeg" TargetMode="External"/><Relationship Id="rId127" Type="http://schemas.openxmlformats.org/officeDocument/2006/relationships/hyperlink" Target="Evidencia%20fotografica\Fotos%20concentrado\PARTIDA%2047%20Lote%205E0885.jpeg" TargetMode="External"/><Relationship Id="rId10" Type="http://schemas.openxmlformats.org/officeDocument/2006/relationships/hyperlink" Target="Evidencia%20fotografica\Fotos%20concentrado\PARTIDA%2013%20Lote%2025141899.jpeg" TargetMode="External"/><Relationship Id="rId31" Type="http://schemas.openxmlformats.org/officeDocument/2006/relationships/hyperlink" Target="Evidencia%20fotografica\Fotos%20concentrado\PARTIDA%2039%20Lote%2025071953.jpeg" TargetMode="External"/><Relationship Id="rId52" Type="http://schemas.openxmlformats.org/officeDocument/2006/relationships/hyperlink" Target="Evidencia%20fotografica\Fotos%20concentrado\PARTIDA%2066%20Lote%20S24Y035.jpeg" TargetMode="External"/><Relationship Id="rId73" Type="http://schemas.openxmlformats.org/officeDocument/2006/relationships/hyperlink" Target="Evidencia%20fotografica\Fotos%20concentrado\PARTIDA%2068%20Lote%202508032.jpeg" TargetMode="External"/><Relationship Id="rId78" Type="http://schemas.openxmlformats.org/officeDocument/2006/relationships/hyperlink" Target="Evidencia%20fotografica\Fotos%20concentrado\PARTIDA%2063%20Lote%202503202.jpeg" TargetMode="External"/><Relationship Id="rId94" Type="http://schemas.openxmlformats.org/officeDocument/2006/relationships/hyperlink" Target="Evidencia%20fotografica\Fotos%20concentrado\PARTIDA%204%20Lote%20Q0425297.jpeg" TargetMode="External"/><Relationship Id="rId99" Type="http://schemas.openxmlformats.org/officeDocument/2006/relationships/hyperlink" Target="Evidencia%20fotografica\Fotos%20concentrado\PARTIDA%2015%20Lote%20AJ25005.jpeg" TargetMode="External"/><Relationship Id="rId101" Type="http://schemas.openxmlformats.org/officeDocument/2006/relationships/hyperlink" Target="Evidencia%20fotografica\Fotos%20concentrado\PARTIDA%2061%20Lote%205F1054.jpeg" TargetMode="External"/><Relationship Id="rId122" Type="http://schemas.openxmlformats.org/officeDocument/2006/relationships/hyperlink" Target="Evidencia%20fotografica\Fotos%20concentrado\PARTIDA%2012%20Lote%20B24T515.jpeg" TargetMode="External"/><Relationship Id="rId143" Type="http://schemas.openxmlformats.org/officeDocument/2006/relationships/hyperlink" Target="Evidencia%20fotografica\Fotos%20concentrado\PARTIDA%2080%20Lote%20B25U316.jpeg" TargetMode="External"/><Relationship Id="rId148" Type="http://schemas.openxmlformats.org/officeDocument/2006/relationships/comments" Target="../comments1.xml"/><Relationship Id="rId4" Type="http://schemas.openxmlformats.org/officeDocument/2006/relationships/hyperlink" Target="Evidencia%20fotografica\Fotos%20concentrado\PARTIDA%207%20Lote%20I25Y074.jpeg" TargetMode="External"/><Relationship Id="rId9" Type="http://schemas.openxmlformats.org/officeDocument/2006/relationships/hyperlink" Target="Evidencia%20fotografica\Fotos%20concentrado\PARTIDA%2012%20Lote%20B24T515.jpeg" TargetMode="External"/><Relationship Id="rId26" Type="http://schemas.openxmlformats.org/officeDocument/2006/relationships/hyperlink" Target="Evidencia%20fotografica\Fotos%20concentrado\PARTIDA%2033%20Lote%202503182.jpeg" TargetMode="External"/><Relationship Id="rId47" Type="http://schemas.openxmlformats.org/officeDocument/2006/relationships/hyperlink" Target="Evidencia%20fotografica\Fotos%20concentrado\PARTIDA%2066%20Lote%20S24Y045.jpeg" TargetMode="External"/><Relationship Id="rId68" Type="http://schemas.openxmlformats.org/officeDocument/2006/relationships/hyperlink" Target="Evidencia%20fotografica\Fotos%20concentrado\PARTIDA%2097%20Lote%20730015.jpeg" TargetMode="External"/><Relationship Id="rId89" Type="http://schemas.openxmlformats.org/officeDocument/2006/relationships/hyperlink" Target="Evidencia%20fotografica\Fotos%20concentrado\PARTIDA%2018%20Lote%205050658.jpeg" TargetMode="External"/><Relationship Id="rId112" Type="http://schemas.openxmlformats.org/officeDocument/2006/relationships/hyperlink" Target="Evidencia%20fotografica\Fotos%20concentrado\PARTIDA%2046%20Lote%20CE2502.jpeg" TargetMode="External"/><Relationship Id="rId133" Type="http://schemas.openxmlformats.org/officeDocument/2006/relationships/hyperlink" Target="Evidencia%20fotografica\Fotos%20concentrado\PARTIDA%2019%20Lote%2025191.jpeg" TargetMode="External"/><Relationship Id="rId16" Type="http://schemas.openxmlformats.org/officeDocument/2006/relationships/hyperlink" Target="Evidencia%20fotografica\Fotos%20concentrado\PARTIDA%2015%20Lote%2022771.jpeg" TargetMode="External"/><Relationship Id="rId37" Type="http://schemas.openxmlformats.org/officeDocument/2006/relationships/hyperlink" Target="Evidencia%20fotografica\Fotos%20concentrado\PARTIDA%2051%20Lote%202502360.jpeg" TargetMode="External"/><Relationship Id="rId58" Type="http://schemas.openxmlformats.org/officeDocument/2006/relationships/hyperlink" Target="Evidencia%20fotografica\Fotos%20concentrado\PARTIDA%2077%20Lote%20250770.jpeg" TargetMode="External"/><Relationship Id="rId79" Type="http://schemas.openxmlformats.org/officeDocument/2006/relationships/hyperlink" Target="Evidencia%20fotografica\Fotos%20concentrado\PARTIDA%2034%20Lote%20SG24300.jpeg" TargetMode="External"/><Relationship Id="rId102" Type="http://schemas.openxmlformats.org/officeDocument/2006/relationships/hyperlink" Target="Evidencia%20fotografica\Fotos%20concentrado\PARTIDA%2049%20Lote%205060791.jpeg" TargetMode="External"/><Relationship Id="rId123" Type="http://schemas.openxmlformats.org/officeDocument/2006/relationships/hyperlink" Target="Evidencia%20fotografica\Fotos%20concentrado\PARTIDA%2013%20Lote%2025141899.jpeg" TargetMode="External"/><Relationship Id="rId144" Type="http://schemas.openxmlformats.org/officeDocument/2006/relationships/hyperlink" Target="Evidencia%20fotografica\Fotos%20concentrado\PARTIDA%2079%20Lote%20247011.jpe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9B5E-AEF2-4C63-88EB-AE674DF05D60}">
  <dimension ref="A1:N325"/>
  <sheetViews>
    <sheetView tabSelected="1" workbookViewId="0">
      <selection activeCell="B4" sqref="B4:L4"/>
    </sheetView>
  </sheetViews>
  <sheetFormatPr baseColWidth="10" defaultRowHeight="15" x14ac:dyDescent="0.25"/>
  <cols>
    <col min="1" max="1" width="3.7109375" customWidth="1"/>
    <col min="2" max="2" width="6.7109375" style="1" customWidth="1"/>
    <col min="3" max="3" width="26.7109375" customWidth="1"/>
    <col min="4" max="4" width="9.42578125" style="1" customWidth="1"/>
    <col min="5" max="5" width="10.140625" customWidth="1"/>
    <col min="6" max="6" width="15.140625" style="2" customWidth="1"/>
    <col min="7" max="7" width="19" style="2" customWidth="1"/>
    <col min="8" max="8" width="5.42578125" customWidth="1"/>
    <col min="9" max="9" width="10" customWidth="1"/>
    <col min="10" max="10" width="6.140625" customWidth="1"/>
    <col min="11" max="11" width="9.7109375" style="1" customWidth="1"/>
    <col min="12" max="12" width="8.28515625" customWidth="1"/>
    <col min="13" max="13" width="12.85546875" style="150" customWidth="1"/>
  </cols>
  <sheetData>
    <row r="1" spans="1:13" x14ac:dyDescent="0.25">
      <c r="K1" s="3"/>
      <c r="M1" s="178"/>
    </row>
    <row r="2" spans="1:13" ht="15.75" x14ac:dyDescent="0.25">
      <c r="I2" s="4" t="s">
        <v>0</v>
      </c>
      <c r="J2" s="4"/>
      <c r="K2" s="4"/>
      <c r="L2" s="4"/>
      <c r="M2" s="178"/>
    </row>
    <row r="3" spans="1:13" x14ac:dyDescent="0.25">
      <c r="M3" s="178"/>
    </row>
    <row r="4" spans="1:13" ht="42.75" customHeight="1" x14ac:dyDescent="0.25">
      <c r="B4" s="5" t="s">
        <v>1</v>
      </c>
      <c r="C4" s="5"/>
      <c r="D4" s="5"/>
      <c r="E4" s="5"/>
      <c r="F4" s="5"/>
      <c r="G4" s="5"/>
      <c r="H4" s="5"/>
      <c r="I4" s="5"/>
      <c r="J4" s="5"/>
      <c r="K4" s="5"/>
      <c r="L4" s="5"/>
      <c r="M4" s="178"/>
    </row>
    <row r="5" spans="1:13" x14ac:dyDescent="0.25">
      <c r="M5" s="178"/>
    </row>
    <row r="6" spans="1:13" ht="24" customHeight="1" thickBot="1" x14ac:dyDescent="0.3">
      <c r="A6" s="6" t="s">
        <v>2</v>
      </c>
      <c r="B6" s="7" t="s">
        <v>3</v>
      </c>
      <c r="C6" s="8" t="s">
        <v>4</v>
      </c>
      <c r="D6" s="8" t="s">
        <v>5</v>
      </c>
      <c r="E6" s="8" t="s">
        <v>6</v>
      </c>
      <c r="F6" s="8" t="s">
        <v>7</v>
      </c>
      <c r="G6" s="8" t="s">
        <v>8</v>
      </c>
      <c r="H6" s="9" t="s">
        <v>9</v>
      </c>
      <c r="I6" s="10" t="s">
        <v>10</v>
      </c>
      <c r="J6" s="8" t="s">
        <v>11</v>
      </c>
      <c r="K6" s="8" t="s">
        <v>12</v>
      </c>
      <c r="L6" s="11" t="s">
        <v>13</v>
      </c>
      <c r="M6" s="12" t="s">
        <v>14</v>
      </c>
    </row>
    <row r="7" spans="1:13" ht="22.5" customHeight="1" x14ac:dyDescent="0.25">
      <c r="A7" s="13">
        <v>1</v>
      </c>
      <c r="B7" s="118">
        <v>615</v>
      </c>
      <c r="C7" s="14" t="s">
        <v>15</v>
      </c>
      <c r="D7" s="15">
        <v>25103022</v>
      </c>
      <c r="E7" s="16" t="s">
        <v>16</v>
      </c>
      <c r="F7" s="17" t="s">
        <v>17</v>
      </c>
      <c r="G7" s="14" t="s">
        <v>18</v>
      </c>
      <c r="H7" s="18">
        <f t="shared" ref="H7:H100" si="0">(I7-K7)/30</f>
        <v>22.9</v>
      </c>
      <c r="I7" s="117">
        <v>46661</v>
      </c>
      <c r="J7" s="118">
        <v>216</v>
      </c>
      <c r="K7" s="117">
        <v>45974</v>
      </c>
      <c r="L7" s="131"/>
      <c r="M7" s="151" t="s">
        <v>19</v>
      </c>
    </row>
    <row r="8" spans="1:13" ht="22.5" customHeight="1" thickBot="1" x14ac:dyDescent="0.3">
      <c r="A8" s="19">
        <v>1</v>
      </c>
      <c r="B8" s="106">
        <v>615</v>
      </c>
      <c r="C8" s="20" t="s">
        <v>15</v>
      </c>
      <c r="D8" s="21">
        <v>25072052</v>
      </c>
      <c r="E8" s="22" t="s">
        <v>16</v>
      </c>
      <c r="F8" s="23" t="s">
        <v>17</v>
      </c>
      <c r="G8" s="20" t="s">
        <v>18</v>
      </c>
      <c r="H8" s="24">
        <f t="shared" si="0"/>
        <v>19.833333333333332</v>
      </c>
      <c r="I8" s="119">
        <v>46569</v>
      </c>
      <c r="J8" s="106">
        <v>84</v>
      </c>
      <c r="K8" s="119">
        <v>45974</v>
      </c>
      <c r="L8" s="25"/>
      <c r="M8" s="152" t="s">
        <v>20</v>
      </c>
    </row>
    <row r="9" spans="1:13" ht="15.75" thickBot="1" x14ac:dyDescent="0.3">
      <c r="A9" s="167"/>
      <c r="B9" s="168"/>
      <c r="C9" s="169"/>
      <c r="D9" s="168"/>
      <c r="E9" s="168"/>
      <c r="F9" s="170"/>
      <c r="G9" s="169"/>
      <c r="H9" s="171"/>
      <c r="I9" s="172"/>
      <c r="J9" s="173"/>
      <c r="K9" s="174"/>
      <c r="L9" s="175"/>
      <c r="M9" s="176"/>
    </row>
    <row r="10" spans="1:13" ht="22.5" customHeight="1" x14ac:dyDescent="0.25">
      <c r="A10" s="31">
        <v>2</v>
      </c>
      <c r="B10" s="32">
        <v>616</v>
      </c>
      <c r="C10" s="14" t="s">
        <v>21</v>
      </c>
      <c r="D10" s="15">
        <v>24240630</v>
      </c>
      <c r="E10" s="33" t="s">
        <v>22</v>
      </c>
      <c r="F10" s="17" t="s">
        <v>23</v>
      </c>
      <c r="G10" s="14" t="s">
        <v>24</v>
      </c>
      <c r="H10" s="18">
        <f t="shared" ref="H10" si="1">(I10-K10)/30</f>
        <v>15.766666666666667</v>
      </c>
      <c r="I10" s="117">
        <v>46388</v>
      </c>
      <c r="J10" s="118">
        <v>1300</v>
      </c>
      <c r="K10" s="132">
        <v>45915</v>
      </c>
      <c r="L10" s="133"/>
      <c r="M10" s="151" t="s">
        <v>25</v>
      </c>
    </row>
    <row r="11" spans="1:13" ht="22.5" customHeight="1" thickBot="1" x14ac:dyDescent="0.3">
      <c r="A11" s="19">
        <v>2</v>
      </c>
      <c r="B11" s="34">
        <v>616</v>
      </c>
      <c r="C11" s="20" t="s">
        <v>21</v>
      </c>
      <c r="D11" s="21" t="s">
        <v>26</v>
      </c>
      <c r="E11" s="35" t="s">
        <v>27</v>
      </c>
      <c r="F11" s="23" t="s">
        <v>23</v>
      </c>
      <c r="G11" s="20" t="s">
        <v>24</v>
      </c>
      <c r="H11" s="24">
        <f t="shared" si="0"/>
        <v>19.833333333333332</v>
      </c>
      <c r="I11" s="119">
        <v>46569</v>
      </c>
      <c r="J11" s="106">
        <v>700</v>
      </c>
      <c r="K11" s="134">
        <v>45974</v>
      </c>
      <c r="L11" s="135"/>
      <c r="M11" s="152" t="s">
        <v>28</v>
      </c>
    </row>
    <row r="12" spans="1:13" ht="15.75" thickBot="1" x14ac:dyDescent="0.3">
      <c r="A12" s="167"/>
      <c r="B12" s="168"/>
      <c r="C12" s="169"/>
      <c r="D12" s="168"/>
      <c r="E12" s="168"/>
      <c r="F12" s="170"/>
      <c r="G12" s="169"/>
      <c r="H12" s="171"/>
      <c r="I12" s="172"/>
      <c r="J12" s="173"/>
      <c r="K12" s="174"/>
      <c r="L12" s="175"/>
      <c r="M12" s="176"/>
    </row>
    <row r="13" spans="1:13" ht="30" customHeight="1" x14ac:dyDescent="0.25">
      <c r="A13" s="13">
        <v>3</v>
      </c>
      <c r="B13" s="32">
        <v>617</v>
      </c>
      <c r="C13" s="14" t="s">
        <v>29</v>
      </c>
      <c r="D13" s="15" t="s">
        <v>30</v>
      </c>
      <c r="E13" s="37" t="s">
        <v>31</v>
      </c>
      <c r="F13" s="17" t="s">
        <v>32</v>
      </c>
      <c r="G13" s="14" t="s">
        <v>33</v>
      </c>
      <c r="H13" s="18">
        <f t="shared" ref="H13:H14" si="2">(I13-K13)/30</f>
        <v>18.766666666666666</v>
      </c>
      <c r="I13" s="117">
        <v>46478</v>
      </c>
      <c r="J13" s="118">
        <v>882</v>
      </c>
      <c r="K13" s="132">
        <v>45915</v>
      </c>
      <c r="L13" s="133"/>
      <c r="M13" s="151" t="s">
        <v>34</v>
      </c>
    </row>
    <row r="14" spans="1:13" ht="22.5" customHeight="1" x14ac:dyDescent="0.25">
      <c r="A14" s="38">
        <v>3</v>
      </c>
      <c r="B14" s="39">
        <v>617</v>
      </c>
      <c r="C14" s="40" t="s">
        <v>29</v>
      </c>
      <c r="D14" s="41" t="s">
        <v>35</v>
      </c>
      <c r="E14" s="42" t="s">
        <v>31</v>
      </c>
      <c r="F14" s="43" t="s">
        <v>32</v>
      </c>
      <c r="G14" s="40" t="s">
        <v>33</v>
      </c>
      <c r="H14" s="44">
        <f t="shared" si="2"/>
        <v>-54.266666666666666</v>
      </c>
      <c r="I14" s="122">
        <v>44287</v>
      </c>
      <c r="J14" s="123">
        <v>1470</v>
      </c>
      <c r="K14" s="136">
        <v>45915</v>
      </c>
      <c r="L14" s="137"/>
      <c r="M14" s="154" t="s">
        <v>36</v>
      </c>
    </row>
    <row r="15" spans="1:13" ht="22.5" customHeight="1" thickBot="1" x14ac:dyDescent="0.3">
      <c r="A15" s="19">
        <v>3</v>
      </c>
      <c r="B15" s="34">
        <v>617</v>
      </c>
      <c r="C15" s="20" t="s">
        <v>29</v>
      </c>
      <c r="D15" s="21" t="s">
        <v>37</v>
      </c>
      <c r="E15" s="35" t="s">
        <v>31</v>
      </c>
      <c r="F15" s="23" t="s">
        <v>32</v>
      </c>
      <c r="G15" s="20" t="s">
        <v>33</v>
      </c>
      <c r="H15" s="24">
        <f t="shared" si="0"/>
        <v>18.766666666666666</v>
      </c>
      <c r="I15" s="119">
        <v>46478</v>
      </c>
      <c r="J15" s="106">
        <v>148</v>
      </c>
      <c r="K15" s="134">
        <v>45915</v>
      </c>
      <c r="L15" s="135"/>
      <c r="M15" s="155"/>
    </row>
    <row r="16" spans="1:13" ht="15.75" thickBot="1" x14ac:dyDescent="0.3">
      <c r="A16" s="167"/>
      <c r="B16" s="168"/>
      <c r="C16" s="169"/>
      <c r="D16" s="168"/>
      <c r="E16" s="168"/>
      <c r="F16" s="170"/>
      <c r="G16" s="169"/>
      <c r="H16" s="171"/>
      <c r="I16" s="172"/>
      <c r="J16" s="173"/>
      <c r="K16" s="174"/>
      <c r="L16" s="175"/>
      <c r="M16" s="176"/>
    </row>
    <row r="17" spans="1:14" ht="39" customHeight="1" x14ac:dyDescent="0.25">
      <c r="A17" s="13">
        <v>4</v>
      </c>
      <c r="B17" s="32">
        <v>618</v>
      </c>
      <c r="C17" s="14" t="s">
        <v>38</v>
      </c>
      <c r="D17" s="15" t="s">
        <v>39</v>
      </c>
      <c r="E17" s="37" t="s">
        <v>31</v>
      </c>
      <c r="F17" s="17" t="s">
        <v>32</v>
      </c>
      <c r="G17" s="14" t="s">
        <v>40</v>
      </c>
      <c r="H17" s="18">
        <f t="shared" si="0"/>
        <v>19.766666666666666</v>
      </c>
      <c r="I17" s="117">
        <v>46508</v>
      </c>
      <c r="J17" s="118">
        <v>1520</v>
      </c>
      <c r="K17" s="132">
        <v>45915</v>
      </c>
      <c r="L17" s="133"/>
      <c r="M17" s="163" t="s">
        <v>41</v>
      </c>
    </row>
    <row r="18" spans="1:14" ht="22.5" customHeight="1" x14ac:dyDescent="0.25">
      <c r="A18" s="38">
        <v>4</v>
      </c>
      <c r="B18" s="39">
        <v>618</v>
      </c>
      <c r="C18" s="40" t="s">
        <v>38</v>
      </c>
      <c r="D18" s="41" t="s">
        <v>42</v>
      </c>
      <c r="E18" s="42" t="s">
        <v>31</v>
      </c>
      <c r="F18" s="43" t="s">
        <v>32</v>
      </c>
      <c r="G18" s="40" t="s">
        <v>40</v>
      </c>
      <c r="H18" s="44"/>
      <c r="I18" s="122">
        <v>46447</v>
      </c>
      <c r="J18" s="123">
        <v>340</v>
      </c>
      <c r="K18" s="136"/>
      <c r="L18" s="137"/>
      <c r="M18" s="164" t="s">
        <v>43</v>
      </c>
    </row>
    <row r="19" spans="1:14" ht="22.5" customHeight="1" x14ac:dyDescent="0.25">
      <c r="A19" s="38">
        <v>4</v>
      </c>
      <c r="B19" s="39">
        <v>618</v>
      </c>
      <c r="C19" s="40" t="s">
        <v>38</v>
      </c>
      <c r="D19" s="41" t="s">
        <v>44</v>
      </c>
      <c r="E19" s="42" t="s">
        <v>31</v>
      </c>
      <c r="F19" s="43" t="s">
        <v>32</v>
      </c>
      <c r="G19" s="40" t="s">
        <v>45</v>
      </c>
      <c r="H19" s="44">
        <f>(I19-K19)/30</f>
        <v>1549.2666666666667</v>
      </c>
      <c r="I19" s="122">
        <v>46478</v>
      </c>
      <c r="J19" s="123">
        <v>380</v>
      </c>
      <c r="K19" s="136"/>
      <c r="L19" s="137"/>
      <c r="M19" s="164" t="s">
        <v>46</v>
      </c>
    </row>
    <row r="20" spans="1:14" ht="22.5" customHeight="1" thickBot="1" x14ac:dyDescent="0.3">
      <c r="A20" s="19">
        <v>4</v>
      </c>
      <c r="B20" s="34">
        <v>618</v>
      </c>
      <c r="C20" s="20" t="s">
        <v>38</v>
      </c>
      <c r="D20" s="21" t="s">
        <v>47</v>
      </c>
      <c r="E20" s="35" t="s">
        <v>31</v>
      </c>
      <c r="F20" s="23" t="s">
        <v>32</v>
      </c>
      <c r="G20" s="20" t="s">
        <v>40</v>
      </c>
      <c r="H20" s="24">
        <f t="shared" ref="H20" si="3">(I20-K20)/30</f>
        <v>17.8</v>
      </c>
      <c r="I20" s="119">
        <v>46508</v>
      </c>
      <c r="J20" s="106">
        <v>760</v>
      </c>
      <c r="K20" s="134">
        <v>45974</v>
      </c>
      <c r="L20" s="135"/>
      <c r="M20" s="165" t="s">
        <v>48</v>
      </c>
      <c r="N20" s="51"/>
    </row>
    <row r="21" spans="1:14" ht="15.75" thickBot="1" x14ac:dyDescent="0.3">
      <c r="A21" s="167"/>
      <c r="B21" s="168"/>
      <c r="C21" s="169"/>
      <c r="D21" s="168"/>
      <c r="E21" s="168"/>
      <c r="F21" s="170"/>
      <c r="G21" s="169"/>
      <c r="H21" s="171"/>
      <c r="I21" s="172"/>
      <c r="J21" s="173"/>
      <c r="K21" s="174"/>
      <c r="L21" s="175"/>
      <c r="M21" s="176"/>
    </row>
    <row r="22" spans="1:14" ht="22.5" customHeight="1" thickBot="1" x14ac:dyDescent="0.3">
      <c r="A22" s="13">
        <v>5</v>
      </c>
      <c r="B22" s="32">
        <v>619</v>
      </c>
      <c r="C22" s="14" t="s">
        <v>49</v>
      </c>
      <c r="D22" s="15">
        <v>250595</v>
      </c>
      <c r="E22" s="37" t="s">
        <v>50</v>
      </c>
      <c r="F22" s="17" t="s">
        <v>32</v>
      </c>
      <c r="G22" s="14" t="s">
        <v>51</v>
      </c>
      <c r="H22" s="18">
        <f t="shared" si="0"/>
        <v>19.766666666666666</v>
      </c>
      <c r="I22" s="117">
        <v>46508</v>
      </c>
      <c r="J22" s="118">
        <v>2304</v>
      </c>
      <c r="K22" s="132">
        <v>45915</v>
      </c>
      <c r="L22" s="133"/>
      <c r="M22" s="151" t="s">
        <v>52</v>
      </c>
    </row>
    <row r="23" spans="1:14" ht="22.5" customHeight="1" thickBot="1" x14ac:dyDescent="0.3">
      <c r="A23" s="19">
        <v>5</v>
      </c>
      <c r="B23" s="32">
        <v>619</v>
      </c>
      <c r="C23" s="20" t="s">
        <v>49</v>
      </c>
      <c r="D23" s="21">
        <v>250800</v>
      </c>
      <c r="E23" s="35" t="s">
        <v>50</v>
      </c>
      <c r="F23" s="23" t="s">
        <v>32</v>
      </c>
      <c r="G23" s="20" t="s">
        <v>51</v>
      </c>
      <c r="H23" s="24">
        <f t="shared" si="0"/>
        <v>19.833333333333332</v>
      </c>
      <c r="I23" s="119">
        <v>46569</v>
      </c>
      <c r="J23" s="106">
        <v>1736</v>
      </c>
      <c r="K23" s="134">
        <v>45974</v>
      </c>
      <c r="L23" s="135"/>
      <c r="M23" s="152" t="s">
        <v>53</v>
      </c>
    </row>
    <row r="24" spans="1:14" ht="15.75" thickBot="1" x14ac:dyDescent="0.3">
      <c r="A24" s="167"/>
      <c r="B24" s="168"/>
      <c r="C24" s="169"/>
      <c r="D24" s="168"/>
      <c r="E24" s="168"/>
      <c r="F24" s="170"/>
      <c r="G24" s="169"/>
      <c r="H24" s="171"/>
      <c r="I24" s="172"/>
      <c r="J24" s="173"/>
      <c r="K24" s="174"/>
      <c r="L24" s="175"/>
      <c r="M24" s="176"/>
    </row>
    <row r="25" spans="1:14" ht="22.5" customHeight="1" thickBot="1" x14ac:dyDescent="0.3">
      <c r="A25" s="55">
        <v>6</v>
      </c>
      <c r="B25" s="56">
        <v>620</v>
      </c>
      <c r="C25" s="57" t="s">
        <v>54</v>
      </c>
      <c r="D25" s="58"/>
      <c r="E25" s="59"/>
      <c r="F25" s="60" t="s">
        <v>55</v>
      </c>
      <c r="G25" s="57" t="s">
        <v>56</v>
      </c>
      <c r="H25" s="61">
        <f t="shared" si="0"/>
        <v>0</v>
      </c>
      <c r="I25" s="89"/>
      <c r="J25" s="86">
        <v>0</v>
      </c>
      <c r="K25" s="56"/>
      <c r="L25" s="63"/>
      <c r="M25" s="157"/>
    </row>
    <row r="26" spans="1:14" ht="15.75" thickBot="1" x14ac:dyDescent="0.3">
      <c r="A26" s="167"/>
      <c r="B26" s="168"/>
      <c r="C26" s="169"/>
      <c r="D26" s="168"/>
      <c r="E26" s="168"/>
      <c r="F26" s="170"/>
      <c r="G26" s="169"/>
      <c r="H26" s="171"/>
      <c r="I26" s="172"/>
      <c r="J26" s="173"/>
      <c r="K26" s="174"/>
      <c r="L26" s="175"/>
      <c r="M26" s="176"/>
    </row>
    <row r="27" spans="1:14" ht="22.5" customHeight="1" x14ac:dyDescent="0.25">
      <c r="A27" s="13">
        <v>7</v>
      </c>
      <c r="B27" s="32">
        <v>621</v>
      </c>
      <c r="C27" s="14" t="s">
        <v>57</v>
      </c>
      <c r="D27" s="15" t="s">
        <v>58</v>
      </c>
      <c r="E27" s="37" t="s">
        <v>31</v>
      </c>
      <c r="F27" s="17" t="s">
        <v>59</v>
      </c>
      <c r="G27" s="14" t="s">
        <v>60</v>
      </c>
      <c r="H27" s="18">
        <f t="shared" si="0"/>
        <v>15.766666666666667</v>
      </c>
      <c r="I27" s="117">
        <v>46447</v>
      </c>
      <c r="J27" s="118">
        <v>1260</v>
      </c>
      <c r="K27" s="132">
        <v>45974</v>
      </c>
      <c r="L27" s="133"/>
      <c r="M27" s="151" t="s">
        <v>61</v>
      </c>
    </row>
    <row r="28" spans="1:14" ht="22.5" customHeight="1" thickBot="1" x14ac:dyDescent="0.3">
      <c r="A28" s="19">
        <v>7</v>
      </c>
      <c r="B28" s="34">
        <v>621</v>
      </c>
      <c r="C28" s="20" t="s">
        <v>57</v>
      </c>
      <c r="D28" s="21" t="s">
        <v>62</v>
      </c>
      <c r="E28" s="35" t="s">
        <v>31</v>
      </c>
      <c r="F28" s="23" t="s">
        <v>59</v>
      </c>
      <c r="G28" s="20" t="s">
        <v>60</v>
      </c>
      <c r="H28" s="24">
        <f t="shared" si="0"/>
        <v>15.766666666666667</v>
      </c>
      <c r="I28" s="119">
        <v>46447</v>
      </c>
      <c r="J28" s="106">
        <v>1240</v>
      </c>
      <c r="K28" s="134">
        <v>45974</v>
      </c>
      <c r="L28" s="135"/>
      <c r="M28" s="152" t="s">
        <v>63</v>
      </c>
    </row>
    <row r="29" spans="1:14" ht="15.75" thickBot="1" x14ac:dyDescent="0.3">
      <c r="A29" s="167"/>
      <c r="B29" s="168"/>
      <c r="C29" s="169"/>
      <c r="D29" s="168"/>
      <c r="E29" s="168"/>
      <c r="F29" s="170"/>
      <c r="G29" s="169"/>
      <c r="H29" s="171"/>
      <c r="I29" s="172"/>
      <c r="J29" s="173"/>
      <c r="K29" s="174"/>
      <c r="L29" s="175"/>
      <c r="M29" s="176"/>
    </row>
    <row r="30" spans="1:14" ht="22.5" customHeight="1" x14ac:dyDescent="0.25">
      <c r="A30" s="13">
        <v>8</v>
      </c>
      <c r="B30" s="32">
        <v>622</v>
      </c>
      <c r="C30" s="14" t="s">
        <v>64</v>
      </c>
      <c r="D30" s="15" t="s">
        <v>65</v>
      </c>
      <c r="E30" s="37" t="s">
        <v>66</v>
      </c>
      <c r="F30" s="17" t="s">
        <v>67</v>
      </c>
      <c r="G30" s="14" t="s">
        <v>68</v>
      </c>
      <c r="H30" s="18">
        <f t="shared" si="0"/>
        <v>19.766666666666666</v>
      </c>
      <c r="I30" s="117">
        <v>46508</v>
      </c>
      <c r="J30" s="118">
        <v>1750</v>
      </c>
      <c r="K30" s="132">
        <v>45915</v>
      </c>
      <c r="L30" s="133"/>
      <c r="M30" s="151" t="s">
        <v>69</v>
      </c>
    </row>
    <row r="31" spans="1:14" ht="22.5" customHeight="1" thickBot="1" x14ac:dyDescent="0.3">
      <c r="A31" s="68">
        <v>8</v>
      </c>
      <c r="B31" s="43">
        <v>622</v>
      </c>
      <c r="C31" s="40" t="s">
        <v>64</v>
      </c>
      <c r="D31" s="41" t="s">
        <v>70</v>
      </c>
      <c r="E31" s="42" t="s">
        <v>66</v>
      </c>
      <c r="F31" s="43" t="s">
        <v>67</v>
      </c>
      <c r="G31" s="40" t="s">
        <v>68</v>
      </c>
      <c r="H31" s="44">
        <f t="shared" si="0"/>
        <v>18.833333333333332</v>
      </c>
      <c r="I31" s="122">
        <v>46539</v>
      </c>
      <c r="J31" s="123">
        <v>225</v>
      </c>
      <c r="K31" s="136">
        <v>45974</v>
      </c>
      <c r="L31" s="137"/>
      <c r="M31" s="152" t="s">
        <v>71</v>
      </c>
    </row>
    <row r="32" spans="1:14" ht="22.5" customHeight="1" thickBot="1" x14ac:dyDescent="0.3">
      <c r="A32" s="19">
        <v>8</v>
      </c>
      <c r="B32" s="34">
        <v>622</v>
      </c>
      <c r="C32" s="69" t="s">
        <v>64</v>
      </c>
      <c r="D32" s="21" t="s">
        <v>70</v>
      </c>
      <c r="E32" s="35" t="s">
        <v>66</v>
      </c>
      <c r="F32" s="23" t="s">
        <v>67</v>
      </c>
      <c r="G32" s="20" t="s">
        <v>68</v>
      </c>
      <c r="H32" s="24">
        <f t="shared" si="0"/>
        <v>17.633333333333333</v>
      </c>
      <c r="I32" s="119">
        <v>46508</v>
      </c>
      <c r="J32" s="106">
        <v>24</v>
      </c>
      <c r="K32" s="134">
        <v>45979</v>
      </c>
      <c r="L32" s="135"/>
      <c r="M32" s="152" t="s">
        <v>71</v>
      </c>
    </row>
    <row r="33" spans="1:13" ht="15.75" thickBot="1" x14ac:dyDescent="0.3">
      <c r="A33" s="167"/>
      <c r="B33" s="168"/>
      <c r="C33" s="169"/>
      <c r="D33" s="168"/>
      <c r="E33" s="168"/>
      <c r="F33" s="170"/>
      <c r="G33" s="169"/>
      <c r="H33" s="171"/>
      <c r="I33" s="172"/>
      <c r="J33" s="173"/>
      <c r="K33" s="174"/>
      <c r="L33" s="175"/>
      <c r="M33" s="176"/>
    </row>
    <row r="34" spans="1:13" ht="22.5" customHeight="1" thickBot="1" x14ac:dyDescent="0.3">
      <c r="A34" s="55">
        <v>9</v>
      </c>
      <c r="B34" s="56">
        <v>623</v>
      </c>
      <c r="C34" s="74" t="s">
        <v>72</v>
      </c>
      <c r="D34" s="58"/>
      <c r="E34" s="59"/>
      <c r="F34" s="60" t="s">
        <v>73</v>
      </c>
      <c r="G34" s="57" t="s">
        <v>74</v>
      </c>
      <c r="H34" s="61">
        <f t="shared" si="0"/>
        <v>0</v>
      </c>
      <c r="I34" s="89"/>
      <c r="J34" s="86">
        <v>0</v>
      </c>
      <c r="K34" s="56"/>
      <c r="L34" s="63"/>
      <c r="M34" s="157"/>
    </row>
    <row r="35" spans="1:13" ht="15.75" thickBot="1" x14ac:dyDescent="0.3">
      <c r="A35" s="167"/>
      <c r="B35" s="168"/>
      <c r="C35" s="169"/>
      <c r="D35" s="168"/>
      <c r="E35" s="168"/>
      <c r="F35" s="170"/>
      <c r="G35" s="169"/>
      <c r="H35" s="171"/>
      <c r="I35" s="172"/>
      <c r="J35" s="173"/>
      <c r="K35" s="174"/>
      <c r="L35" s="175"/>
      <c r="M35" s="176"/>
    </row>
    <row r="36" spans="1:13" ht="22.5" customHeight="1" thickBot="1" x14ac:dyDescent="0.3">
      <c r="A36" s="55">
        <v>10</v>
      </c>
      <c r="B36" s="86">
        <v>624</v>
      </c>
      <c r="C36" s="74" t="s">
        <v>75</v>
      </c>
      <c r="D36" s="58">
        <v>254541</v>
      </c>
      <c r="E36" s="59" t="s">
        <v>76</v>
      </c>
      <c r="F36" s="60" t="s">
        <v>77</v>
      </c>
      <c r="G36" s="57" t="s">
        <v>78</v>
      </c>
      <c r="H36" s="61">
        <f t="shared" si="0"/>
        <v>20.866666666666667</v>
      </c>
      <c r="I36" s="89">
        <v>46600</v>
      </c>
      <c r="J36" s="86">
        <v>400</v>
      </c>
      <c r="K36" s="89">
        <v>45974</v>
      </c>
      <c r="L36" s="90"/>
      <c r="M36" s="159" t="s">
        <v>79</v>
      </c>
    </row>
    <row r="37" spans="1:13" ht="15.75" thickBot="1" x14ac:dyDescent="0.3">
      <c r="A37" s="167"/>
      <c r="B37" s="168"/>
      <c r="C37" s="169"/>
      <c r="D37" s="168"/>
      <c r="E37" s="168"/>
      <c r="F37" s="170"/>
      <c r="G37" s="169"/>
      <c r="H37" s="171"/>
      <c r="I37" s="172"/>
      <c r="J37" s="173"/>
      <c r="K37" s="174"/>
      <c r="L37" s="175"/>
      <c r="M37" s="176"/>
    </row>
    <row r="38" spans="1:13" ht="64.5" customHeight="1" thickBot="1" x14ac:dyDescent="0.3">
      <c r="A38" s="55">
        <v>11</v>
      </c>
      <c r="B38" s="86">
        <v>625</v>
      </c>
      <c r="C38" s="74" t="s">
        <v>80</v>
      </c>
      <c r="D38" s="58" t="s">
        <v>81</v>
      </c>
      <c r="E38" s="75" t="s">
        <v>82</v>
      </c>
      <c r="F38" s="62" t="s">
        <v>80</v>
      </c>
      <c r="G38" s="57" t="s">
        <v>83</v>
      </c>
      <c r="H38" s="61">
        <f t="shared" si="0"/>
        <v>14.833333333333334</v>
      </c>
      <c r="I38" s="89">
        <v>46419</v>
      </c>
      <c r="J38" s="86">
        <v>500</v>
      </c>
      <c r="K38" s="89">
        <v>45974</v>
      </c>
      <c r="L38" s="90"/>
      <c r="M38" s="159" t="s">
        <v>84</v>
      </c>
    </row>
    <row r="39" spans="1:13" ht="15.75" thickBot="1" x14ac:dyDescent="0.3">
      <c r="A39" s="167"/>
      <c r="B39" s="168"/>
      <c r="C39" s="169"/>
      <c r="D39" s="168"/>
      <c r="E39" s="168"/>
      <c r="F39" s="170"/>
      <c r="G39" s="169"/>
      <c r="H39" s="171"/>
      <c r="I39" s="172"/>
      <c r="J39" s="173"/>
      <c r="K39" s="174"/>
      <c r="L39" s="175"/>
      <c r="M39" s="176"/>
    </row>
    <row r="40" spans="1:13" ht="22.5" customHeight="1" x14ac:dyDescent="0.25">
      <c r="A40" s="78">
        <v>12</v>
      </c>
      <c r="B40" s="15">
        <v>626</v>
      </c>
      <c r="C40" s="14" t="s">
        <v>85</v>
      </c>
      <c r="D40" s="15" t="s">
        <v>86</v>
      </c>
      <c r="E40" s="79" t="s">
        <v>31</v>
      </c>
      <c r="F40" s="17" t="s">
        <v>67</v>
      </c>
      <c r="G40" s="14" t="s">
        <v>87</v>
      </c>
      <c r="H40" s="18">
        <f t="shared" si="0"/>
        <v>15.766666666666667</v>
      </c>
      <c r="I40" s="117">
        <v>46447</v>
      </c>
      <c r="J40" s="118">
        <v>1315</v>
      </c>
      <c r="K40" s="117">
        <v>45974</v>
      </c>
      <c r="L40" s="131"/>
      <c r="M40" s="151" t="s">
        <v>88</v>
      </c>
    </row>
    <row r="41" spans="1:13" ht="22.5" customHeight="1" thickBot="1" x14ac:dyDescent="0.3">
      <c r="A41" s="68">
        <v>12</v>
      </c>
      <c r="B41" s="41">
        <v>626</v>
      </c>
      <c r="C41" s="40" t="s">
        <v>85</v>
      </c>
      <c r="D41" s="41" t="s">
        <v>89</v>
      </c>
      <c r="E41" s="80" t="s">
        <v>31</v>
      </c>
      <c r="F41" s="43" t="s">
        <v>67</v>
      </c>
      <c r="G41" s="40" t="s">
        <v>87</v>
      </c>
      <c r="H41" s="44">
        <f t="shared" si="0"/>
        <v>10.733333333333333</v>
      </c>
      <c r="I41" s="122">
        <v>46296</v>
      </c>
      <c r="J41" s="123">
        <v>124</v>
      </c>
      <c r="K41" s="122">
        <v>45974</v>
      </c>
      <c r="L41" s="139"/>
      <c r="M41" s="152" t="s">
        <v>90</v>
      </c>
    </row>
    <row r="42" spans="1:13" ht="22.5" customHeight="1" thickBot="1" x14ac:dyDescent="0.3">
      <c r="A42" s="81">
        <v>12</v>
      </c>
      <c r="B42" s="21">
        <v>626</v>
      </c>
      <c r="C42" s="20" t="s">
        <v>85</v>
      </c>
      <c r="D42" s="21" t="s">
        <v>89</v>
      </c>
      <c r="E42" s="82" t="s">
        <v>31</v>
      </c>
      <c r="F42" s="23" t="s">
        <v>67</v>
      </c>
      <c r="G42" s="20" t="s">
        <v>87</v>
      </c>
      <c r="H42" s="24">
        <f t="shared" si="0"/>
        <v>10.566666666666666</v>
      </c>
      <c r="I42" s="119">
        <v>46296</v>
      </c>
      <c r="J42" s="106">
        <v>60</v>
      </c>
      <c r="K42" s="119">
        <v>45979</v>
      </c>
      <c r="L42" s="25"/>
      <c r="M42" s="152" t="s">
        <v>90</v>
      </c>
    </row>
    <row r="43" spans="1:13" ht="15.75" thickBot="1" x14ac:dyDescent="0.3">
      <c r="A43" s="167"/>
      <c r="B43" s="168"/>
      <c r="C43" s="169"/>
      <c r="D43" s="168"/>
      <c r="E43" s="168"/>
      <c r="F43" s="170"/>
      <c r="G43" s="169"/>
      <c r="H43" s="171"/>
      <c r="I43" s="172"/>
      <c r="J43" s="173"/>
      <c r="K43" s="174"/>
      <c r="L43" s="175"/>
      <c r="M43" s="176"/>
    </row>
    <row r="44" spans="1:13" ht="22.5" customHeight="1" x14ac:dyDescent="0.25">
      <c r="A44" s="78">
        <v>13</v>
      </c>
      <c r="B44" s="15">
        <v>627</v>
      </c>
      <c r="C44" s="14" t="s">
        <v>91</v>
      </c>
      <c r="D44" s="41" t="s">
        <v>92</v>
      </c>
      <c r="E44" s="37" t="s">
        <v>31</v>
      </c>
      <c r="F44" s="17" t="s">
        <v>32</v>
      </c>
      <c r="G44" s="14" t="s">
        <v>93</v>
      </c>
      <c r="H44" s="18">
        <f t="shared" si="0"/>
        <v>28.966666666666665</v>
      </c>
      <c r="I44" s="117">
        <v>46784</v>
      </c>
      <c r="J44" s="118">
        <v>840</v>
      </c>
      <c r="K44" s="132">
        <v>45915</v>
      </c>
      <c r="L44" s="131"/>
      <c r="M44" s="161"/>
    </row>
    <row r="45" spans="1:13" ht="22.5" customHeight="1" thickBot="1" x14ac:dyDescent="0.3">
      <c r="A45" s="38">
        <v>13</v>
      </c>
      <c r="B45" s="123">
        <v>627</v>
      </c>
      <c r="C45" s="84" t="s">
        <v>91</v>
      </c>
      <c r="D45" s="41" t="s">
        <v>92</v>
      </c>
      <c r="E45" s="42" t="s">
        <v>31</v>
      </c>
      <c r="F45" s="43" t="s">
        <v>32</v>
      </c>
      <c r="G45" s="40" t="s">
        <v>93</v>
      </c>
      <c r="H45" s="44">
        <f t="shared" si="0"/>
        <v>29</v>
      </c>
      <c r="I45" s="122">
        <v>46844</v>
      </c>
      <c r="J45" s="123">
        <v>41</v>
      </c>
      <c r="K45" s="136">
        <v>45974</v>
      </c>
      <c r="L45" s="139"/>
      <c r="M45" s="154" t="s">
        <v>94</v>
      </c>
    </row>
    <row r="46" spans="1:13" ht="22.5" customHeight="1" thickBot="1" x14ac:dyDescent="0.3">
      <c r="A46" s="38">
        <v>13</v>
      </c>
      <c r="B46" s="15">
        <v>627</v>
      </c>
      <c r="C46" s="84" t="s">
        <v>91</v>
      </c>
      <c r="D46" s="41">
        <v>25141899</v>
      </c>
      <c r="E46" s="42" t="s">
        <v>31</v>
      </c>
      <c r="F46" s="43" t="s">
        <v>32</v>
      </c>
      <c r="G46" s="40" t="s">
        <v>93</v>
      </c>
      <c r="H46" s="44">
        <f t="shared" si="0"/>
        <v>18.833333333333332</v>
      </c>
      <c r="I46" s="122">
        <v>46539</v>
      </c>
      <c r="J46" s="123">
        <v>2106</v>
      </c>
      <c r="K46" s="136">
        <v>45974</v>
      </c>
      <c r="L46" s="139"/>
      <c r="M46" s="152" t="s">
        <v>95</v>
      </c>
    </row>
    <row r="47" spans="1:13" ht="22.5" customHeight="1" thickBot="1" x14ac:dyDescent="0.3">
      <c r="A47" s="19">
        <v>13</v>
      </c>
      <c r="B47" s="15">
        <v>627</v>
      </c>
      <c r="C47" s="69" t="s">
        <v>91</v>
      </c>
      <c r="D47" s="21">
        <v>25141899</v>
      </c>
      <c r="E47" s="35" t="s">
        <v>31</v>
      </c>
      <c r="F47" s="23" t="s">
        <v>32</v>
      </c>
      <c r="G47" s="20" t="s">
        <v>93</v>
      </c>
      <c r="H47" s="24">
        <f t="shared" si="0"/>
        <v>18.666666666666668</v>
      </c>
      <c r="I47" s="119">
        <v>46539</v>
      </c>
      <c r="J47" s="106">
        <v>13</v>
      </c>
      <c r="K47" s="134">
        <v>45979</v>
      </c>
      <c r="L47" s="25"/>
      <c r="M47" s="152" t="s">
        <v>95</v>
      </c>
    </row>
    <row r="48" spans="1:13" ht="15.75" thickBot="1" x14ac:dyDescent="0.3">
      <c r="A48" s="167"/>
      <c r="B48" s="168"/>
      <c r="C48" s="169"/>
      <c r="D48" s="168"/>
      <c r="E48" s="168"/>
      <c r="F48" s="170"/>
      <c r="G48" s="169"/>
      <c r="H48" s="171"/>
      <c r="I48" s="172"/>
      <c r="J48" s="173"/>
      <c r="K48" s="174"/>
      <c r="L48" s="175"/>
      <c r="M48" s="176"/>
    </row>
    <row r="49" spans="1:13" ht="22.5" customHeight="1" thickBot="1" x14ac:dyDescent="0.3">
      <c r="A49" s="55">
        <v>14</v>
      </c>
      <c r="B49" s="86">
        <v>628</v>
      </c>
      <c r="C49" s="74" t="s">
        <v>96</v>
      </c>
      <c r="D49" s="58" t="s">
        <v>97</v>
      </c>
      <c r="E49" s="75" t="s">
        <v>98</v>
      </c>
      <c r="F49" s="60" t="s">
        <v>99</v>
      </c>
      <c r="G49" s="57" t="s">
        <v>100</v>
      </c>
      <c r="H49" s="61">
        <f t="shared" si="0"/>
        <v>16.8</v>
      </c>
      <c r="I49" s="89">
        <v>46478</v>
      </c>
      <c r="J49" s="86">
        <v>500</v>
      </c>
      <c r="K49" s="89">
        <v>45974</v>
      </c>
      <c r="L49" s="90"/>
      <c r="M49" s="159" t="s">
        <v>101</v>
      </c>
    </row>
    <row r="50" spans="1:13" ht="15.75" thickBot="1" x14ac:dyDescent="0.3">
      <c r="A50" s="167"/>
      <c r="B50" s="168"/>
      <c r="C50" s="169"/>
      <c r="D50" s="168"/>
      <c r="E50" s="168"/>
      <c r="F50" s="170"/>
      <c r="G50" s="169"/>
      <c r="H50" s="171"/>
      <c r="I50" s="172"/>
      <c r="J50" s="173"/>
      <c r="K50" s="174"/>
      <c r="L50" s="175"/>
      <c r="M50" s="176"/>
    </row>
    <row r="51" spans="1:13" ht="22.5" customHeight="1" x14ac:dyDescent="0.25">
      <c r="A51" s="78">
        <v>15</v>
      </c>
      <c r="B51" s="15">
        <v>629</v>
      </c>
      <c r="C51" s="14" t="s">
        <v>102</v>
      </c>
      <c r="D51" s="15" t="s">
        <v>103</v>
      </c>
      <c r="E51" s="37" t="s">
        <v>104</v>
      </c>
      <c r="F51" s="17" t="s">
        <v>105</v>
      </c>
      <c r="G51" s="14" t="s">
        <v>106</v>
      </c>
      <c r="H51" s="18">
        <f t="shared" si="0"/>
        <v>20.8</v>
      </c>
      <c r="I51" s="117">
        <v>46539</v>
      </c>
      <c r="J51" s="118">
        <v>938</v>
      </c>
      <c r="K51" s="132">
        <v>45915</v>
      </c>
      <c r="L51" s="131"/>
      <c r="M51" s="163" t="s">
        <v>107</v>
      </c>
    </row>
    <row r="52" spans="1:13" ht="22.5" customHeight="1" x14ac:dyDescent="0.25">
      <c r="A52" s="68">
        <v>15</v>
      </c>
      <c r="B52" s="41">
        <v>629</v>
      </c>
      <c r="C52" s="40" t="s">
        <v>102</v>
      </c>
      <c r="D52" s="41">
        <v>22771</v>
      </c>
      <c r="E52" s="42" t="s">
        <v>104</v>
      </c>
      <c r="F52" s="43" t="s">
        <v>105</v>
      </c>
      <c r="G52" s="40" t="s">
        <v>106</v>
      </c>
      <c r="H52" s="44">
        <f t="shared" si="0"/>
        <v>18.833333333333332</v>
      </c>
      <c r="I52" s="122">
        <v>46539</v>
      </c>
      <c r="J52" s="123">
        <v>1008</v>
      </c>
      <c r="K52" s="136">
        <v>45974</v>
      </c>
      <c r="L52" s="139"/>
      <c r="M52" s="164" t="s">
        <v>108</v>
      </c>
    </row>
    <row r="53" spans="1:13" ht="22.5" customHeight="1" x14ac:dyDescent="0.25">
      <c r="A53" s="68">
        <v>15</v>
      </c>
      <c r="B53" s="41">
        <v>629</v>
      </c>
      <c r="C53" s="40" t="s">
        <v>102</v>
      </c>
      <c r="D53" s="41">
        <v>19792</v>
      </c>
      <c r="E53" s="42" t="s">
        <v>104</v>
      </c>
      <c r="F53" s="43" t="s">
        <v>105</v>
      </c>
      <c r="G53" s="40" t="s">
        <v>106</v>
      </c>
      <c r="H53" s="44">
        <f t="shared" si="0"/>
        <v>13.633333333333333</v>
      </c>
      <c r="I53" s="122">
        <v>46388</v>
      </c>
      <c r="J53" s="123">
        <v>336</v>
      </c>
      <c r="K53" s="136">
        <v>45979</v>
      </c>
      <c r="L53" s="139"/>
      <c r="M53" s="164" t="s">
        <v>109</v>
      </c>
    </row>
    <row r="54" spans="1:13" ht="22.5" customHeight="1" x14ac:dyDescent="0.25">
      <c r="A54" s="68">
        <v>15</v>
      </c>
      <c r="B54" s="41">
        <v>629</v>
      </c>
      <c r="C54" s="40" t="s">
        <v>102</v>
      </c>
      <c r="D54" s="41">
        <v>18285</v>
      </c>
      <c r="E54" s="42" t="s">
        <v>104</v>
      </c>
      <c r="F54" s="43" t="s">
        <v>105</v>
      </c>
      <c r="G54" s="40" t="s">
        <v>106</v>
      </c>
      <c r="H54" s="44">
        <f t="shared" si="0"/>
        <v>10.566666666666666</v>
      </c>
      <c r="I54" s="122">
        <v>46296</v>
      </c>
      <c r="J54" s="123">
        <v>216</v>
      </c>
      <c r="K54" s="136">
        <v>45979</v>
      </c>
      <c r="L54" s="139"/>
      <c r="M54" s="164" t="s">
        <v>110</v>
      </c>
    </row>
    <row r="55" spans="1:13" ht="22.5" customHeight="1" x14ac:dyDescent="0.25">
      <c r="A55" s="68">
        <v>15</v>
      </c>
      <c r="B55" s="41">
        <v>629</v>
      </c>
      <c r="C55" s="40" t="s">
        <v>102</v>
      </c>
      <c r="D55" s="41">
        <v>22771</v>
      </c>
      <c r="E55" s="42" t="s">
        <v>104</v>
      </c>
      <c r="F55" s="43" t="s">
        <v>105</v>
      </c>
      <c r="G55" s="40" t="s">
        <v>106</v>
      </c>
      <c r="H55" s="44">
        <f t="shared" si="0"/>
        <v>18.666666666666668</v>
      </c>
      <c r="I55" s="122">
        <v>46539</v>
      </c>
      <c r="J55" s="123">
        <v>224</v>
      </c>
      <c r="K55" s="136">
        <v>45979</v>
      </c>
      <c r="L55" s="139"/>
      <c r="M55" s="164" t="s">
        <v>108</v>
      </c>
    </row>
    <row r="56" spans="1:13" ht="22.5" customHeight="1" thickBot="1" x14ac:dyDescent="0.3">
      <c r="A56" s="81">
        <v>15</v>
      </c>
      <c r="B56" s="21">
        <v>629</v>
      </c>
      <c r="C56" s="20" t="s">
        <v>102</v>
      </c>
      <c r="D56" s="21">
        <v>22772</v>
      </c>
      <c r="E56" s="35" t="s">
        <v>104</v>
      </c>
      <c r="F56" s="23" t="s">
        <v>105</v>
      </c>
      <c r="G56" s="20" t="s">
        <v>106</v>
      </c>
      <c r="H56" s="24">
        <f t="shared" si="0"/>
        <v>18.666666666666668</v>
      </c>
      <c r="I56" s="119">
        <v>46539</v>
      </c>
      <c r="J56" s="106">
        <v>1745</v>
      </c>
      <c r="K56" s="134">
        <v>45979</v>
      </c>
      <c r="L56" s="25"/>
      <c r="M56" s="165" t="s">
        <v>111</v>
      </c>
    </row>
    <row r="57" spans="1:13" ht="15.75" thickBot="1" x14ac:dyDescent="0.3">
      <c r="A57" s="167"/>
      <c r="B57" s="168"/>
      <c r="C57" s="169"/>
      <c r="D57" s="168"/>
      <c r="E57" s="168"/>
      <c r="F57" s="170"/>
      <c r="G57" s="169"/>
      <c r="H57" s="171"/>
      <c r="I57" s="172"/>
      <c r="J57" s="173"/>
      <c r="K57" s="174"/>
      <c r="L57" s="175"/>
      <c r="M57" s="176"/>
    </row>
    <row r="58" spans="1:13" ht="22.5" customHeight="1" thickBot="1" x14ac:dyDescent="0.3">
      <c r="A58" s="55">
        <v>16</v>
      </c>
      <c r="B58" s="86">
        <v>630</v>
      </c>
      <c r="C58" s="57" t="s">
        <v>112</v>
      </c>
      <c r="D58" s="58">
        <v>197075</v>
      </c>
      <c r="E58" s="59" t="s">
        <v>31</v>
      </c>
      <c r="F58" s="60" t="s">
        <v>113</v>
      </c>
      <c r="G58" s="57" t="s">
        <v>114</v>
      </c>
      <c r="H58" s="61">
        <f t="shared" si="0"/>
        <v>19.833333333333332</v>
      </c>
      <c r="I58" s="89">
        <v>46569</v>
      </c>
      <c r="J58" s="86">
        <v>800</v>
      </c>
      <c r="K58" s="89">
        <v>45974</v>
      </c>
      <c r="L58" s="90"/>
      <c r="M58" s="159" t="s">
        <v>115</v>
      </c>
    </row>
    <row r="59" spans="1:13" ht="15.75" thickBot="1" x14ac:dyDescent="0.3">
      <c r="A59" s="167"/>
      <c r="B59" s="168"/>
      <c r="C59" s="169"/>
      <c r="D59" s="168"/>
      <c r="E59" s="168"/>
      <c r="F59" s="170"/>
      <c r="G59" s="169"/>
      <c r="H59" s="171"/>
      <c r="I59" s="172"/>
      <c r="J59" s="173"/>
      <c r="K59" s="174"/>
      <c r="L59" s="175"/>
      <c r="M59" s="176"/>
    </row>
    <row r="60" spans="1:13" ht="33.75" thickBot="1" x14ac:dyDescent="0.3">
      <c r="A60" s="55">
        <v>17</v>
      </c>
      <c r="B60" s="86">
        <v>631</v>
      </c>
      <c r="C60" s="57" t="s">
        <v>112</v>
      </c>
      <c r="D60" s="58" t="s">
        <v>116</v>
      </c>
      <c r="E60" s="59" t="s">
        <v>117</v>
      </c>
      <c r="F60" s="60" t="s">
        <v>118</v>
      </c>
      <c r="G60" s="57" t="s">
        <v>119</v>
      </c>
      <c r="H60" s="61">
        <f t="shared" si="0"/>
        <v>16.8</v>
      </c>
      <c r="I60" s="89">
        <v>46478</v>
      </c>
      <c r="J60" s="86">
        <v>87</v>
      </c>
      <c r="K60" s="141">
        <v>45974</v>
      </c>
      <c r="L60" s="90"/>
      <c r="M60" s="159" t="s">
        <v>120</v>
      </c>
    </row>
    <row r="61" spans="1:13" ht="15.75" thickBot="1" x14ac:dyDescent="0.3">
      <c r="A61" s="167"/>
      <c r="B61" s="168"/>
      <c r="C61" s="169"/>
      <c r="D61" s="168"/>
      <c r="E61" s="168"/>
      <c r="F61" s="170"/>
      <c r="G61" s="169"/>
      <c r="H61" s="171"/>
      <c r="I61" s="172"/>
      <c r="J61" s="173"/>
      <c r="K61" s="174"/>
      <c r="L61" s="175"/>
      <c r="M61" s="176"/>
    </row>
    <row r="62" spans="1:13" ht="41.25" x14ac:dyDescent="0.25">
      <c r="A62" s="13">
        <v>18</v>
      </c>
      <c r="B62" s="118">
        <v>632</v>
      </c>
      <c r="C62" s="14" t="s">
        <v>121</v>
      </c>
      <c r="D62" s="15">
        <v>5050658</v>
      </c>
      <c r="E62" s="37" t="s">
        <v>31</v>
      </c>
      <c r="F62" s="17" t="s">
        <v>122</v>
      </c>
      <c r="G62" s="14" t="s">
        <v>123</v>
      </c>
      <c r="H62" s="18">
        <f t="shared" ref="H62" si="4">(I62-K62)/30</f>
        <v>20.8</v>
      </c>
      <c r="I62" s="117">
        <v>46539</v>
      </c>
      <c r="J62" s="118">
        <v>1386</v>
      </c>
      <c r="K62" s="142">
        <v>45915</v>
      </c>
      <c r="L62" s="131"/>
      <c r="M62" s="163" t="s">
        <v>124</v>
      </c>
    </row>
    <row r="63" spans="1:13" ht="41.25" x14ac:dyDescent="0.25">
      <c r="A63" s="38">
        <v>18</v>
      </c>
      <c r="B63" s="123">
        <v>632</v>
      </c>
      <c r="C63" s="40" t="s">
        <v>121</v>
      </c>
      <c r="D63" s="41">
        <v>5040554</v>
      </c>
      <c r="E63" s="42" t="s">
        <v>31</v>
      </c>
      <c r="F63" s="43" t="s">
        <v>122</v>
      </c>
      <c r="G63" s="40" t="s">
        <v>123</v>
      </c>
      <c r="H63" s="44">
        <f t="shared" si="0"/>
        <v>18.766666666666666</v>
      </c>
      <c r="I63" s="122">
        <v>46478</v>
      </c>
      <c r="J63" s="123">
        <v>1014</v>
      </c>
      <c r="K63" s="143">
        <v>45915</v>
      </c>
      <c r="L63" s="139"/>
      <c r="M63" s="164" t="s">
        <v>125</v>
      </c>
    </row>
    <row r="64" spans="1:13" ht="42" thickBot="1" x14ac:dyDescent="0.3">
      <c r="A64" s="19">
        <v>18</v>
      </c>
      <c r="B64" s="106">
        <v>632</v>
      </c>
      <c r="C64" s="20" t="s">
        <v>121</v>
      </c>
      <c r="D64" s="21" t="s">
        <v>126</v>
      </c>
      <c r="E64" s="35" t="s">
        <v>31</v>
      </c>
      <c r="F64" s="23" t="s">
        <v>122</v>
      </c>
      <c r="G64" s="20" t="s">
        <v>123</v>
      </c>
      <c r="H64" s="24">
        <f t="shared" si="0"/>
        <v>19.833333333333332</v>
      </c>
      <c r="I64" s="119">
        <v>46569</v>
      </c>
      <c r="J64" s="106">
        <v>540</v>
      </c>
      <c r="K64" s="144">
        <v>45974</v>
      </c>
      <c r="L64" s="25"/>
      <c r="M64" s="165" t="s">
        <v>127</v>
      </c>
    </row>
    <row r="65" spans="1:13" ht="15.75" thickBot="1" x14ac:dyDescent="0.3">
      <c r="A65" s="167"/>
      <c r="B65" s="168"/>
      <c r="C65" s="169"/>
      <c r="D65" s="168"/>
      <c r="E65" s="168"/>
      <c r="F65" s="170"/>
      <c r="G65" s="169"/>
      <c r="H65" s="171"/>
      <c r="I65" s="172"/>
      <c r="J65" s="173"/>
      <c r="K65" s="174"/>
      <c r="L65" s="175"/>
      <c r="M65" s="176"/>
    </row>
    <row r="66" spans="1:13" ht="33" x14ac:dyDescent="0.25">
      <c r="A66" s="13">
        <v>19</v>
      </c>
      <c r="B66" s="118">
        <v>633</v>
      </c>
      <c r="C66" s="14" t="s">
        <v>128</v>
      </c>
      <c r="D66" s="15">
        <v>25191</v>
      </c>
      <c r="E66" s="37" t="s">
        <v>129</v>
      </c>
      <c r="F66" s="17" t="s">
        <v>130</v>
      </c>
      <c r="G66" s="14" t="s">
        <v>131</v>
      </c>
      <c r="H66" s="18">
        <f t="shared" ref="H66:H67" si="5">(I66-K66)/30</f>
        <v>1565.1</v>
      </c>
      <c r="I66" s="117">
        <v>46966</v>
      </c>
      <c r="J66" s="118">
        <v>180</v>
      </c>
      <c r="K66" s="142">
        <v>13</v>
      </c>
      <c r="L66" s="131"/>
      <c r="M66" s="151" t="s">
        <v>132</v>
      </c>
    </row>
    <row r="67" spans="1:13" ht="33.75" thickBot="1" x14ac:dyDescent="0.3">
      <c r="A67" s="19">
        <v>19</v>
      </c>
      <c r="B67" s="106">
        <v>633</v>
      </c>
      <c r="C67" s="20" t="s">
        <v>128</v>
      </c>
      <c r="D67" s="21">
        <v>25135</v>
      </c>
      <c r="E67" s="35" t="s">
        <v>129</v>
      </c>
      <c r="F67" s="23" t="s">
        <v>130</v>
      </c>
      <c r="G67" s="20" t="s">
        <v>131</v>
      </c>
      <c r="H67" s="24">
        <f t="shared" si="5"/>
        <v>31.033333333333335</v>
      </c>
      <c r="I67" s="119">
        <v>46905</v>
      </c>
      <c r="J67" s="106">
        <v>1083</v>
      </c>
      <c r="K67" s="144">
        <v>45974</v>
      </c>
      <c r="L67" s="25"/>
      <c r="M67" s="152" t="s">
        <v>133</v>
      </c>
    </row>
    <row r="68" spans="1:13" ht="15.75" thickBot="1" x14ac:dyDescent="0.3">
      <c r="A68" s="167"/>
      <c r="B68" s="168"/>
      <c r="C68" s="169"/>
      <c r="D68" s="168"/>
      <c r="E68" s="168"/>
      <c r="F68" s="170"/>
      <c r="G68" s="169"/>
      <c r="H68" s="171"/>
      <c r="I68" s="172"/>
      <c r="J68" s="173"/>
      <c r="K68" s="174"/>
      <c r="L68" s="175"/>
      <c r="M68" s="176"/>
    </row>
    <row r="69" spans="1:13" ht="18.75" thickBot="1" x14ac:dyDescent="0.3">
      <c r="A69" s="48">
        <v>20</v>
      </c>
      <c r="B69" s="72">
        <v>634</v>
      </c>
      <c r="C69" s="50" t="s">
        <v>134</v>
      </c>
      <c r="D69" s="52"/>
      <c r="E69" s="85"/>
      <c r="F69" s="49" t="s">
        <v>135</v>
      </c>
      <c r="G69" s="50" t="s">
        <v>136</v>
      </c>
      <c r="H69" s="54">
        <f t="shared" si="0"/>
        <v>0</v>
      </c>
      <c r="I69" s="71"/>
      <c r="J69" s="72">
        <v>0</v>
      </c>
      <c r="K69" s="145"/>
      <c r="L69" s="140"/>
      <c r="M69" s="162"/>
    </row>
    <row r="70" spans="1:13" ht="15.75" thickBot="1" x14ac:dyDescent="0.3">
      <c r="A70" s="167"/>
      <c r="B70" s="168"/>
      <c r="C70" s="169"/>
      <c r="D70" s="168"/>
      <c r="E70" s="168"/>
      <c r="F70" s="170"/>
      <c r="G70" s="169"/>
      <c r="H70" s="171"/>
      <c r="I70" s="172"/>
      <c r="J70" s="173"/>
      <c r="K70" s="174"/>
      <c r="L70" s="175"/>
      <c r="M70" s="176"/>
    </row>
    <row r="71" spans="1:13" ht="41.25" x14ac:dyDescent="0.25">
      <c r="A71" s="13">
        <v>21</v>
      </c>
      <c r="B71" s="118">
        <v>635</v>
      </c>
      <c r="C71" s="14" t="s">
        <v>137</v>
      </c>
      <c r="D71" s="15" t="s">
        <v>138</v>
      </c>
      <c r="E71" s="37" t="s">
        <v>31</v>
      </c>
      <c r="F71" s="17" t="s">
        <v>67</v>
      </c>
      <c r="G71" s="14" t="s">
        <v>139</v>
      </c>
      <c r="H71" s="18">
        <f t="shared" si="0"/>
        <v>17.733333333333334</v>
      </c>
      <c r="I71" s="117">
        <v>46447</v>
      </c>
      <c r="J71" s="118">
        <v>1260</v>
      </c>
      <c r="K71" s="142">
        <v>45915</v>
      </c>
      <c r="L71" s="131"/>
      <c r="M71" s="163" t="s">
        <v>140</v>
      </c>
    </row>
    <row r="72" spans="1:13" ht="41.25" x14ac:dyDescent="0.25">
      <c r="A72" s="38">
        <v>21</v>
      </c>
      <c r="B72" s="123">
        <v>635</v>
      </c>
      <c r="C72" s="40" t="s">
        <v>137</v>
      </c>
      <c r="D72" s="41" t="s">
        <v>141</v>
      </c>
      <c r="E72" s="42" t="s">
        <v>31</v>
      </c>
      <c r="F72" s="43" t="s">
        <v>67</v>
      </c>
      <c r="G72" s="40" t="s">
        <v>139</v>
      </c>
      <c r="H72" s="44">
        <f t="shared" si="0"/>
        <v>16.8</v>
      </c>
      <c r="I72" s="122">
        <v>46478</v>
      </c>
      <c r="J72" s="123">
        <v>210</v>
      </c>
      <c r="K72" s="143">
        <v>45974</v>
      </c>
      <c r="L72" s="139"/>
      <c r="M72" s="164" t="s">
        <v>142</v>
      </c>
    </row>
    <row r="73" spans="1:13" ht="41.25" x14ac:dyDescent="0.25">
      <c r="A73" s="38">
        <v>21</v>
      </c>
      <c r="B73" s="123">
        <v>635</v>
      </c>
      <c r="C73" s="40" t="s">
        <v>137</v>
      </c>
      <c r="D73" s="41" t="s">
        <v>143</v>
      </c>
      <c r="E73" s="42" t="s">
        <v>31</v>
      </c>
      <c r="F73" s="43" t="s">
        <v>67</v>
      </c>
      <c r="G73" s="40" t="s">
        <v>139</v>
      </c>
      <c r="H73" s="44">
        <f t="shared" si="0"/>
        <v>15.766666666666667</v>
      </c>
      <c r="I73" s="122">
        <v>46447</v>
      </c>
      <c r="J73" s="123">
        <v>90</v>
      </c>
      <c r="K73" s="143">
        <v>45974</v>
      </c>
      <c r="L73" s="139"/>
      <c r="M73" s="164" t="s">
        <v>144</v>
      </c>
    </row>
    <row r="74" spans="1:13" ht="42" thickBot="1" x14ac:dyDescent="0.3">
      <c r="A74" s="19">
        <v>21</v>
      </c>
      <c r="B74" s="106">
        <v>635</v>
      </c>
      <c r="C74" s="20" t="s">
        <v>137</v>
      </c>
      <c r="D74" s="21" t="s">
        <v>141</v>
      </c>
      <c r="E74" s="35" t="s">
        <v>31</v>
      </c>
      <c r="F74" s="23" t="s">
        <v>67</v>
      </c>
      <c r="G74" s="20" t="s">
        <v>139</v>
      </c>
      <c r="H74" s="24">
        <f t="shared" si="0"/>
        <v>16.633333333333333</v>
      </c>
      <c r="I74" s="119">
        <v>46478</v>
      </c>
      <c r="J74" s="106">
        <v>40</v>
      </c>
      <c r="K74" s="144">
        <v>45979</v>
      </c>
      <c r="L74" s="25"/>
      <c r="M74" s="165" t="s">
        <v>142</v>
      </c>
    </row>
    <row r="75" spans="1:13" ht="15.75" thickBot="1" x14ac:dyDescent="0.3">
      <c r="A75" s="167"/>
      <c r="B75" s="168"/>
      <c r="C75" s="169"/>
      <c r="D75" s="168"/>
      <c r="E75" s="168"/>
      <c r="F75" s="170"/>
      <c r="G75" s="169"/>
      <c r="H75" s="171"/>
      <c r="I75" s="172"/>
      <c r="J75" s="173"/>
      <c r="K75" s="174"/>
      <c r="L75" s="175"/>
      <c r="M75" s="176"/>
    </row>
    <row r="76" spans="1:13" ht="15.75" thickBot="1" x14ac:dyDescent="0.3">
      <c r="A76" s="55">
        <v>22</v>
      </c>
      <c r="B76" s="86">
        <v>636</v>
      </c>
      <c r="C76" s="57" t="s">
        <v>145</v>
      </c>
      <c r="D76" s="58"/>
      <c r="E76" s="59"/>
      <c r="F76" s="60" t="s">
        <v>32</v>
      </c>
      <c r="G76" s="57" t="s">
        <v>146</v>
      </c>
      <c r="H76" s="61">
        <f t="shared" si="0"/>
        <v>0</v>
      </c>
      <c r="I76" s="89"/>
      <c r="J76" s="86">
        <v>0</v>
      </c>
      <c r="K76" s="86"/>
      <c r="L76" s="90"/>
      <c r="M76" s="157"/>
    </row>
    <row r="77" spans="1:13" ht="15.75" thickBot="1" x14ac:dyDescent="0.3">
      <c r="A77" s="167"/>
      <c r="B77" s="168"/>
      <c r="C77" s="169"/>
      <c r="D77" s="168"/>
      <c r="E77" s="168"/>
      <c r="F77" s="170"/>
      <c r="G77" s="169"/>
      <c r="H77" s="171"/>
      <c r="I77" s="172"/>
      <c r="J77" s="173"/>
      <c r="K77" s="174"/>
      <c r="L77" s="175"/>
      <c r="M77" s="176"/>
    </row>
    <row r="78" spans="1:13" ht="33" x14ac:dyDescent="0.25">
      <c r="A78" s="13">
        <v>23</v>
      </c>
      <c r="B78" s="118">
        <v>637</v>
      </c>
      <c r="C78" s="14" t="s">
        <v>147</v>
      </c>
      <c r="D78" s="15">
        <v>22816</v>
      </c>
      <c r="E78" s="79" t="s">
        <v>148</v>
      </c>
      <c r="F78" s="17" t="s">
        <v>32</v>
      </c>
      <c r="G78" s="14" t="s">
        <v>146</v>
      </c>
      <c r="H78" s="18">
        <f t="shared" ref="H78:H79" si="6">(I78-K78)/30</f>
        <v>18.666666666666668</v>
      </c>
      <c r="I78" s="117">
        <v>46539</v>
      </c>
      <c r="J78" s="118">
        <v>2538</v>
      </c>
      <c r="K78" s="117">
        <v>45979</v>
      </c>
      <c r="L78" s="131"/>
      <c r="M78" s="151" t="s">
        <v>149</v>
      </c>
    </row>
    <row r="79" spans="1:13" ht="41.25" x14ac:dyDescent="0.25">
      <c r="A79" s="38">
        <v>23</v>
      </c>
      <c r="B79" s="123">
        <v>637</v>
      </c>
      <c r="C79" s="40" t="s">
        <v>147</v>
      </c>
      <c r="D79" s="41">
        <v>20221</v>
      </c>
      <c r="E79" s="80" t="s">
        <v>148</v>
      </c>
      <c r="F79" s="43" t="s">
        <v>32</v>
      </c>
      <c r="G79" s="40" t="s">
        <v>146</v>
      </c>
      <c r="H79" s="44">
        <f t="shared" si="6"/>
        <v>14.666666666666666</v>
      </c>
      <c r="I79" s="122">
        <v>46419</v>
      </c>
      <c r="J79" s="123">
        <v>42</v>
      </c>
      <c r="K79" s="122">
        <v>45979</v>
      </c>
      <c r="L79" s="139"/>
      <c r="M79" s="154" t="s">
        <v>150</v>
      </c>
    </row>
    <row r="80" spans="1:13" ht="42" thickBot="1" x14ac:dyDescent="0.3">
      <c r="A80" s="19">
        <v>23</v>
      </c>
      <c r="B80" s="106">
        <v>637</v>
      </c>
      <c r="C80" s="20" t="s">
        <v>147</v>
      </c>
      <c r="D80" s="21">
        <v>21842</v>
      </c>
      <c r="E80" s="82" t="s">
        <v>148</v>
      </c>
      <c r="F80" s="23" t="s">
        <v>32</v>
      </c>
      <c r="G80" s="20" t="s">
        <v>146</v>
      </c>
      <c r="H80" s="24">
        <f t="shared" si="0"/>
        <v>20.7</v>
      </c>
      <c r="I80" s="119">
        <v>46600</v>
      </c>
      <c r="J80" s="106">
        <v>76</v>
      </c>
      <c r="K80" s="119">
        <v>45979</v>
      </c>
      <c r="L80" s="25"/>
      <c r="M80" s="152" t="s">
        <v>150</v>
      </c>
    </row>
    <row r="81" spans="1:13" ht="15.75" thickBot="1" x14ac:dyDescent="0.3">
      <c r="A81" s="36"/>
      <c r="B81" s="121"/>
      <c r="C81" s="26"/>
      <c r="D81" s="27"/>
      <c r="E81" s="83"/>
      <c r="F81" s="28"/>
      <c r="G81" s="26"/>
      <c r="H81" s="29"/>
      <c r="I81" s="120"/>
      <c r="J81" s="121"/>
      <c r="K81" s="120"/>
      <c r="L81" s="30"/>
      <c r="M81" s="153"/>
    </row>
    <row r="82" spans="1:13" ht="41.25" x14ac:dyDescent="0.25">
      <c r="A82" s="13">
        <v>24</v>
      </c>
      <c r="B82" s="118">
        <v>638</v>
      </c>
      <c r="C82" s="14" t="s">
        <v>151</v>
      </c>
      <c r="D82" s="15" t="s">
        <v>152</v>
      </c>
      <c r="E82" s="79" t="s">
        <v>31</v>
      </c>
      <c r="F82" s="17" t="s">
        <v>153</v>
      </c>
      <c r="G82" s="14" t="s">
        <v>154</v>
      </c>
      <c r="H82" s="18">
        <f t="shared" si="0"/>
        <v>31.033333333333335</v>
      </c>
      <c r="I82" s="117">
        <v>46905</v>
      </c>
      <c r="J82" s="118">
        <v>1360</v>
      </c>
      <c r="K82" s="117">
        <v>45974</v>
      </c>
      <c r="L82" s="131"/>
      <c r="M82" s="151" t="s">
        <v>155</v>
      </c>
    </row>
    <row r="83" spans="1:13" ht="42" thickBot="1" x14ac:dyDescent="0.3">
      <c r="A83" s="19">
        <v>24</v>
      </c>
      <c r="B83" s="106">
        <v>638</v>
      </c>
      <c r="C83" s="20" t="s">
        <v>151</v>
      </c>
      <c r="D83" s="21" t="s">
        <v>156</v>
      </c>
      <c r="E83" s="82" t="s">
        <v>31</v>
      </c>
      <c r="F83" s="23" t="s">
        <v>153</v>
      </c>
      <c r="G83" s="20" t="s">
        <v>154</v>
      </c>
      <c r="H83" s="24">
        <f t="shared" si="0"/>
        <v>30</v>
      </c>
      <c r="I83" s="119">
        <v>46874</v>
      </c>
      <c r="J83" s="106">
        <v>140</v>
      </c>
      <c r="K83" s="119">
        <v>45974</v>
      </c>
      <c r="L83" s="25"/>
      <c r="M83" s="152" t="s">
        <v>157</v>
      </c>
    </row>
    <row r="84" spans="1:13" ht="15.75" thickBot="1" x14ac:dyDescent="0.3">
      <c r="A84" s="167"/>
      <c r="B84" s="168"/>
      <c r="C84" s="169"/>
      <c r="D84" s="168"/>
      <c r="E84" s="168"/>
      <c r="F84" s="170"/>
      <c r="G84" s="169"/>
      <c r="H84" s="171"/>
      <c r="I84" s="172"/>
      <c r="J84" s="173"/>
      <c r="K84" s="174"/>
      <c r="L84" s="175"/>
      <c r="M84" s="176"/>
    </row>
    <row r="85" spans="1:13" ht="15.75" thickBot="1" x14ac:dyDescent="0.3">
      <c r="A85" s="55">
        <v>25</v>
      </c>
      <c r="B85" s="86">
        <v>639</v>
      </c>
      <c r="C85" s="57" t="s">
        <v>158</v>
      </c>
      <c r="D85" s="58"/>
      <c r="E85" s="59"/>
      <c r="F85" s="60" t="s">
        <v>159</v>
      </c>
      <c r="G85" s="57" t="s">
        <v>160</v>
      </c>
      <c r="H85" s="61">
        <f t="shared" si="0"/>
        <v>0</v>
      </c>
      <c r="I85" s="89"/>
      <c r="J85" s="86">
        <v>0</v>
      </c>
      <c r="K85" s="86"/>
      <c r="L85" s="90"/>
      <c r="M85" s="157"/>
    </row>
    <row r="86" spans="1:13" ht="15.75" thickBot="1" x14ac:dyDescent="0.3">
      <c r="A86" s="167"/>
      <c r="B86" s="168"/>
      <c r="C86" s="169"/>
      <c r="D86" s="168"/>
      <c r="E86" s="168"/>
      <c r="F86" s="170"/>
      <c r="G86" s="169"/>
      <c r="H86" s="171"/>
      <c r="I86" s="172"/>
      <c r="J86" s="173"/>
      <c r="K86" s="174"/>
      <c r="L86" s="175"/>
      <c r="M86" s="176"/>
    </row>
    <row r="87" spans="1:13" ht="18.75" thickBot="1" x14ac:dyDescent="0.3">
      <c r="A87" s="55">
        <v>26</v>
      </c>
      <c r="B87" s="86">
        <v>640</v>
      </c>
      <c r="C87" s="57" t="s">
        <v>161</v>
      </c>
      <c r="D87" s="58"/>
      <c r="E87" s="75"/>
      <c r="F87" s="60" t="s">
        <v>162</v>
      </c>
      <c r="G87" s="57" t="s">
        <v>163</v>
      </c>
      <c r="H87" s="61">
        <f t="shared" si="0"/>
        <v>0</v>
      </c>
      <c r="I87" s="89"/>
      <c r="J87" s="86">
        <v>0</v>
      </c>
      <c r="K87" s="86"/>
      <c r="L87" s="90"/>
      <c r="M87" s="157"/>
    </row>
    <row r="88" spans="1:13" ht="15.75" thickBot="1" x14ac:dyDescent="0.3">
      <c r="A88" s="167"/>
      <c r="B88" s="168"/>
      <c r="C88" s="169"/>
      <c r="D88" s="168"/>
      <c r="E88" s="168"/>
      <c r="F88" s="170"/>
      <c r="G88" s="169"/>
      <c r="H88" s="171"/>
      <c r="I88" s="172"/>
      <c r="J88" s="173"/>
      <c r="K88" s="174"/>
      <c r="L88" s="175"/>
      <c r="M88" s="176"/>
    </row>
    <row r="89" spans="1:13" ht="33.75" thickBot="1" x14ac:dyDescent="0.3">
      <c r="A89" s="55">
        <v>27</v>
      </c>
      <c r="B89" s="86">
        <v>641</v>
      </c>
      <c r="C89" s="57" t="s">
        <v>164</v>
      </c>
      <c r="D89" s="58">
        <v>250665</v>
      </c>
      <c r="E89" s="75" t="s">
        <v>165</v>
      </c>
      <c r="F89" s="60" t="s">
        <v>159</v>
      </c>
      <c r="G89" s="57" t="s">
        <v>166</v>
      </c>
      <c r="H89" s="61">
        <f t="shared" si="0"/>
        <v>18.833333333333332</v>
      </c>
      <c r="I89" s="89">
        <v>46539</v>
      </c>
      <c r="J89" s="86">
        <v>690</v>
      </c>
      <c r="K89" s="89">
        <v>45974</v>
      </c>
      <c r="L89" s="90"/>
      <c r="M89" s="159" t="s">
        <v>167</v>
      </c>
    </row>
    <row r="90" spans="1:13" ht="15.75" thickBot="1" x14ac:dyDescent="0.3">
      <c r="A90" s="167"/>
      <c r="B90" s="168"/>
      <c r="C90" s="169"/>
      <c r="D90" s="168"/>
      <c r="E90" s="168"/>
      <c r="F90" s="170"/>
      <c r="G90" s="169"/>
      <c r="H90" s="171"/>
      <c r="I90" s="172"/>
      <c r="J90" s="173"/>
      <c r="K90" s="174"/>
      <c r="L90" s="175"/>
      <c r="M90" s="176"/>
    </row>
    <row r="91" spans="1:13" ht="33" x14ac:dyDescent="0.25">
      <c r="A91" s="13">
        <v>28</v>
      </c>
      <c r="B91" s="118">
        <v>642</v>
      </c>
      <c r="C91" s="14" t="s">
        <v>168</v>
      </c>
      <c r="D91" s="15">
        <v>23037</v>
      </c>
      <c r="E91" s="16" t="s">
        <v>31</v>
      </c>
      <c r="F91" s="17" t="s">
        <v>130</v>
      </c>
      <c r="G91" s="14" t="s">
        <v>169</v>
      </c>
      <c r="H91" s="18">
        <f t="shared" ref="H91" si="7">(I91-K91)/30</f>
        <v>18.833333333333332</v>
      </c>
      <c r="I91" s="117">
        <v>46539</v>
      </c>
      <c r="J91" s="118">
        <v>236</v>
      </c>
      <c r="K91" s="117">
        <v>45974</v>
      </c>
      <c r="L91" s="131"/>
      <c r="M91" s="151" t="s">
        <v>170</v>
      </c>
    </row>
    <row r="92" spans="1:13" ht="33.75" thickBot="1" x14ac:dyDescent="0.3">
      <c r="A92" s="81">
        <v>28</v>
      </c>
      <c r="B92" s="21">
        <v>642</v>
      </c>
      <c r="C92" s="20" t="s">
        <v>168</v>
      </c>
      <c r="D92" s="21">
        <v>23482</v>
      </c>
      <c r="E92" s="22" t="s">
        <v>31</v>
      </c>
      <c r="F92" s="23" t="s">
        <v>130</v>
      </c>
      <c r="G92" s="20" t="s">
        <v>169</v>
      </c>
      <c r="H92" s="24">
        <f t="shared" si="0"/>
        <v>20.7</v>
      </c>
      <c r="I92" s="119">
        <v>46600</v>
      </c>
      <c r="J92" s="106">
        <v>234</v>
      </c>
      <c r="K92" s="119">
        <v>45979</v>
      </c>
      <c r="L92" s="25"/>
      <c r="M92" s="152" t="s">
        <v>171</v>
      </c>
    </row>
    <row r="93" spans="1:13" ht="15.75" thickBot="1" x14ac:dyDescent="0.3">
      <c r="A93" s="167"/>
      <c r="B93" s="168"/>
      <c r="C93" s="169"/>
      <c r="D93" s="168"/>
      <c r="E93" s="168"/>
      <c r="F93" s="170"/>
      <c r="G93" s="169"/>
      <c r="H93" s="171"/>
      <c r="I93" s="172"/>
      <c r="J93" s="173"/>
      <c r="K93" s="174"/>
      <c r="L93" s="175"/>
      <c r="M93" s="176"/>
    </row>
    <row r="94" spans="1:13" ht="27" x14ac:dyDescent="0.25">
      <c r="A94" s="78">
        <v>29</v>
      </c>
      <c r="B94" s="15">
        <v>643</v>
      </c>
      <c r="C94" s="14" t="s">
        <v>172</v>
      </c>
      <c r="D94" s="15" t="s">
        <v>173</v>
      </c>
      <c r="E94" s="37" t="s">
        <v>31</v>
      </c>
      <c r="F94" s="17" t="s">
        <v>174</v>
      </c>
      <c r="G94" s="14" t="s">
        <v>175</v>
      </c>
      <c r="H94" s="18">
        <f t="shared" si="0"/>
        <v>20.8</v>
      </c>
      <c r="I94" s="117">
        <v>46539</v>
      </c>
      <c r="J94" s="118">
        <v>1890</v>
      </c>
      <c r="K94" s="132">
        <v>45915</v>
      </c>
      <c r="L94" s="131"/>
      <c r="M94" s="161"/>
    </row>
    <row r="95" spans="1:13" ht="41.25" x14ac:dyDescent="0.25">
      <c r="A95" s="68">
        <v>29</v>
      </c>
      <c r="B95" s="41">
        <v>643</v>
      </c>
      <c r="C95" s="40" t="s">
        <v>172</v>
      </c>
      <c r="D95" s="41" t="s">
        <v>176</v>
      </c>
      <c r="E95" s="42" t="s">
        <v>31</v>
      </c>
      <c r="F95" s="43" t="s">
        <v>174</v>
      </c>
      <c r="G95" s="40" t="s">
        <v>175</v>
      </c>
      <c r="H95" s="44">
        <f t="shared" si="0"/>
        <v>14.833333333333334</v>
      </c>
      <c r="I95" s="122">
        <v>46419</v>
      </c>
      <c r="J95" s="123">
        <v>586</v>
      </c>
      <c r="K95" s="136">
        <v>45974</v>
      </c>
      <c r="L95" s="139"/>
      <c r="M95" s="154" t="s">
        <v>177</v>
      </c>
    </row>
    <row r="96" spans="1:13" ht="42" thickBot="1" x14ac:dyDescent="0.3">
      <c r="A96" s="19">
        <v>29</v>
      </c>
      <c r="B96" s="106">
        <v>643</v>
      </c>
      <c r="C96" s="69" t="s">
        <v>172</v>
      </c>
      <c r="D96" s="21" t="s">
        <v>178</v>
      </c>
      <c r="E96" s="35" t="s">
        <v>31</v>
      </c>
      <c r="F96" s="23" t="s">
        <v>174</v>
      </c>
      <c r="G96" s="20" t="s">
        <v>175</v>
      </c>
      <c r="H96" s="24">
        <f t="shared" si="0"/>
        <v>10.733333333333333</v>
      </c>
      <c r="I96" s="119">
        <v>46296</v>
      </c>
      <c r="J96" s="106">
        <v>24</v>
      </c>
      <c r="K96" s="134">
        <v>45974</v>
      </c>
      <c r="L96" s="25"/>
      <c r="M96" s="152" t="s">
        <v>179</v>
      </c>
    </row>
    <row r="97" spans="1:13" ht="15.75" thickBot="1" x14ac:dyDescent="0.3">
      <c r="A97" s="167"/>
      <c r="B97" s="168"/>
      <c r="C97" s="169"/>
      <c r="D97" s="168"/>
      <c r="E97" s="168"/>
      <c r="F97" s="170"/>
      <c r="G97" s="169"/>
      <c r="H97" s="171"/>
      <c r="I97" s="172"/>
      <c r="J97" s="173"/>
      <c r="K97" s="174"/>
      <c r="L97" s="175"/>
      <c r="M97" s="176"/>
    </row>
    <row r="98" spans="1:13" ht="33.75" thickBot="1" x14ac:dyDescent="0.3">
      <c r="A98" s="55">
        <v>30</v>
      </c>
      <c r="B98" s="86">
        <v>644</v>
      </c>
      <c r="C98" s="74" t="s">
        <v>180</v>
      </c>
      <c r="D98" s="58">
        <v>251808</v>
      </c>
      <c r="E98" s="59" t="s">
        <v>181</v>
      </c>
      <c r="F98" s="60" t="s">
        <v>182</v>
      </c>
      <c r="G98" s="57" t="s">
        <v>183</v>
      </c>
      <c r="H98" s="61">
        <f t="shared" si="0"/>
        <v>20.866666666666667</v>
      </c>
      <c r="I98" s="89">
        <v>46600</v>
      </c>
      <c r="J98" s="86">
        <v>2000</v>
      </c>
      <c r="K98" s="89">
        <v>45974</v>
      </c>
      <c r="L98" s="90"/>
      <c r="M98" s="159" t="s">
        <v>184</v>
      </c>
    </row>
    <row r="99" spans="1:13" ht="15.75" thickBot="1" x14ac:dyDescent="0.3">
      <c r="A99" s="167"/>
      <c r="B99" s="168"/>
      <c r="C99" s="169"/>
      <c r="D99" s="168"/>
      <c r="E99" s="168"/>
      <c r="F99" s="170"/>
      <c r="G99" s="169"/>
      <c r="H99" s="171"/>
      <c r="I99" s="172"/>
      <c r="J99" s="173"/>
      <c r="K99" s="174"/>
      <c r="L99" s="175"/>
      <c r="M99" s="176"/>
    </row>
    <row r="100" spans="1:13" ht="33.75" thickBot="1" x14ac:dyDescent="0.3">
      <c r="A100" s="55">
        <v>31</v>
      </c>
      <c r="B100" s="86">
        <v>645</v>
      </c>
      <c r="C100" s="74" t="s">
        <v>185</v>
      </c>
      <c r="D100" s="58">
        <v>224085</v>
      </c>
      <c r="E100" s="59" t="s">
        <v>186</v>
      </c>
      <c r="F100" s="60" t="s">
        <v>187</v>
      </c>
      <c r="G100" s="57" t="s">
        <v>169</v>
      </c>
      <c r="H100" s="61">
        <f t="shared" si="0"/>
        <v>20.866666666666667</v>
      </c>
      <c r="I100" s="89">
        <v>46600</v>
      </c>
      <c r="J100" s="86">
        <v>2997</v>
      </c>
      <c r="K100" s="89">
        <v>45974</v>
      </c>
      <c r="L100" s="90"/>
      <c r="M100" s="159" t="s">
        <v>188</v>
      </c>
    </row>
    <row r="101" spans="1:13" ht="15.75" thickBot="1" x14ac:dyDescent="0.3">
      <c r="A101" s="167"/>
      <c r="B101" s="168">
        <v>645</v>
      </c>
      <c r="C101" s="169"/>
      <c r="D101" s="168"/>
      <c r="E101" s="168"/>
      <c r="F101" s="170"/>
      <c r="G101" s="169"/>
      <c r="H101" s="171"/>
      <c r="I101" s="172"/>
      <c r="J101" s="173"/>
      <c r="K101" s="174"/>
      <c r="L101" s="175"/>
      <c r="M101" s="176"/>
    </row>
    <row r="102" spans="1:13" ht="28.5" customHeight="1" thickBot="1" x14ac:dyDescent="0.3">
      <c r="A102" s="55">
        <v>32</v>
      </c>
      <c r="B102" s="86">
        <v>646</v>
      </c>
      <c r="C102" s="74" t="s">
        <v>189</v>
      </c>
      <c r="D102" s="86"/>
      <c r="E102" s="87"/>
      <c r="F102" s="56"/>
      <c r="G102" s="74"/>
      <c r="H102" s="88"/>
      <c r="I102" s="89"/>
      <c r="J102" s="86"/>
      <c r="K102" s="89"/>
      <c r="L102" s="90"/>
      <c r="M102" s="157"/>
    </row>
    <row r="103" spans="1:13" ht="15.75" thickBot="1" x14ac:dyDescent="0.3">
      <c r="A103" s="167"/>
      <c r="B103" s="168">
        <v>646</v>
      </c>
      <c r="C103" s="169"/>
      <c r="D103" s="168"/>
      <c r="E103" s="168"/>
      <c r="F103" s="170"/>
      <c r="G103" s="169"/>
      <c r="H103" s="171"/>
      <c r="I103" s="172"/>
      <c r="J103" s="173"/>
      <c r="K103" s="174"/>
      <c r="L103" s="175"/>
      <c r="M103" s="176"/>
    </row>
    <row r="104" spans="1:13" ht="42" thickBot="1" x14ac:dyDescent="0.3">
      <c r="A104" s="55">
        <v>33</v>
      </c>
      <c r="B104" s="86">
        <v>647</v>
      </c>
      <c r="C104" s="74" t="s">
        <v>190</v>
      </c>
      <c r="D104" s="58">
        <v>2503182</v>
      </c>
      <c r="E104" s="75" t="s">
        <v>191</v>
      </c>
      <c r="F104" s="60" t="s">
        <v>32</v>
      </c>
      <c r="G104" s="57" t="s">
        <v>192</v>
      </c>
      <c r="H104" s="61">
        <f t="shared" ref="H104:H193" si="8">(I104-K104)/30</f>
        <v>16.366666666666667</v>
      </c>
      <c r="I104" s="89">
        <v>46465</v>
      </c>
      <c r="J104" s="86">
        <v>600</v>
      </c>
      <c r="K104" s="89">
        <v>45974</v>
      </c>
      <c r="L104" s="90"/>
      <c r="M104" s="159" t="s">
        <v>193</v>
      </c>
    </row>
    <row r="105" spans="1:13" ht="15.75" thickBot="1" x14ac:dyDescent="0.3">
      <c r="A105" s="167"/>
      <c r="B105" s="168"/>
      <c r="C105" s="169"/>
      <c r="D105" s="168"/>
      <c r="E105" s="168"/>
      <c r="F105" s="170"/>
      <c r="G105" s="169"/>
      <c r="H105" s="171"/>
      <c r="I105" s="172"/>
      <c r="J105" s="173"/>
      <c r="K105" s="174"/>
      <c r="L105" s="175"/>
      <c r="M105" s="176"/>
    </row>
    <row r="106" spans="1:13" ht="41.25" x14ac:dyDescent="0.25">
      <c r="A106" s="13">
        <v>34</v>
      </c>
      <c r="B106" s="118">
        <v>648</v>
      </c>
      <c r="C106" s="91" t="s">
        <v>194</v>
      </c>
      <c r="D106" s="15" t="s">
        <v>195</v>
      </c>
      <c r="E106" s="37" t="s">
        <v>196</v>
      </c>
      <c r="F106" s="17" t="s">
        <v>67</v>
      </c>
      <c r="G106" s="14" t="s">
        <v>197</v>
      </c>
      <c r="H106" s="18">
        <f t="shared" si="8"/>
        <v>9.6333333333333329</v>
      </c>
      <c r="I106" s="117">
        <v>46204</v>
      </c>
      <c r="J106" s="118">
        <v>1358</v>
      </c>
      <c r="K106" s="132">
        <v>45915</v>
      </c>
      <c r="L106" s="131"/>
      <c r="M106" s="151" t="s">
        <v>198</v>
      </c>
    </row>
    <row r="107" spans="1:13" ht="30" customHeight="1" x14ac:dyDescent="0.25">
      <c r="A107" s="38">
        <v>34</v>
      </c>
      <c r="B107" s="123">
        <v>648</v>
      </c>
      <c r="C107" s="84" t="s">
        <v>194</v>
      </c>
      <c r="D107" s="41" t="s">
        <v>199</v>
      </c>
      <c r="E107" s="42" t="s">
        <v>196</v>
      </c>
      <c r="F107" s="43" t="s">
        <v>67</v>
      </c>
      <c r="G107" s="40" t="s">
        <v>197</v>
      </c>
      <c r="H107" s="44">
        <f t="shared" si="8"/>
        <v>16.8</v>
      </c>
      <c r="I107" s="122">
        <v>46478</v>
      </c>
      <c r="J107" s="123">
        <v>165</v>
      </c>
      <c r="K107" s="136">
        <v>45974</v>
      </c>
      <c r="L107" s="139"/>
      <c r="M107" s="154" t="s">
        <v>200</v>
      </c>
    </row>
    <row r="108" spans="1:13" ht="42" thickBot="1" x14ac:dyDescent="0.3">
      <c r="A108" s="38">
        <v>34</v>
      </c>
      <c r="B108" s="123">
        <v>648</v>
      </c>
      <c r="C108" s="84" t="s">
        <v>194</v>
      </c>
      <c r="D108" s="41" t="s">
        <v>201</v>
      </c>
      <c r="E108" s="42" t="s">
        <v>196</v>
      </c>
      <c r="F108" s="43" t="s">
        <v>67</v>
      </c>
      <c r="G108" s="40" t="s">
        <v>197</v>
      </c>
      <c r="H108" s="44">
        <f t="shared" si="8"/>
        <v>16.8</v>
      </c>
      <c r="I108" s="122">
        <v>46478</v>
      </c>
      <c r="J108" s="123">
        <v>16</v>
      </c>
      <c r="K108" s="136">
        <v>45974</v>
      </c>
      <c r="L108" s="139"/>
      <c r="M108" s="152" t="s">
        <v>202</v>
      </c>
    </row>
    <row r="109" spans="1:13" ht="42" thickBot="1" x14ac:dyDescent="0.3">
      <c r="A109" s="19">
        <v>34</v>
      </c>
      <c r="B109" s="106">
        <v>648</v>
      </c>
      <c r="C109" s="69" t="s">
        <v>194</v>
      </c>
      <c r="D109" s="21" t="s">
        <v>203</v>
      </c>
      <c r="E109" s="35" t="s">
        <v>196</v>
      </c>
      <c r="F109" s="23" t="s">
        <v>67</v>
      </c>
      <c r="G109" s="20" t="s">
        <v>197</v>
      </c>
      <c r="H109" s="24">
        <f t="shared" si="8"/>
        <v>16.8</v>
      </c>
      <c r="I109" s="119">
        <v>46478</v>
      </c>
      <c r="J109" s="106">
        <v>104</v>
      </c>
      <c r="K109" s="134">
        <v>45974</v>
      </c>
      <c r="L109" s="25"/>
      <c r="M109" s="152" t="s">
        <v>204</v>
      </c>
    </row>
    <row r="110" spans="1:13" ht="15.75" thickBot="1" x14ac:dyDescent="0.3">
      <c r="A110" s="167"/>
      <c r="B110" s="168"/>
      <c r="C110" s="169"/>
      <c r="D110" s="168"/>
      <c r="E110" s="168"/>
      <c r="F110" s="170"/>
      <c r="G110" s="169"/>
      <c r="H110" s="171"/>
      <c r="I110" s="172"/>
      <c r="J110" s="173"/>
      <c r="K110" s="174"/>
      <c r="L110" s="175"/>
      <c r="M110" s="176"/>
    </row>
    <row r="111" spans="1:13" ht="41.25" x14ac:dyDescent="0.25">
      <c r="A111" s="13">
        <v>35</v>
      </c>
      <c r="B111" s="118">
        <v>649</v>
      </c>
      <c r="C111" s="91" t="s">
        <v>205</v>
      </c>
      <c r="D111" s="15">
        <v>2502736</v>
      </c>
      <c r="E111" s="37" t="s">
        <v>31</v>
      </c>
      <c r="F111" s="17" t="s">
        <v>206</v>
      </c>
      <c r="G111" s="14" t="s">
        <v>106</v>
      </c>
      <c r="H111" s="18">
        <f t="shared" si="8"/>
        <v>16.8</v>
      </c>
      <c r="I111" s="117">
        <v>46419</v>
      </c>
      <c r="J111" s="118">
        <v>1500</v>
      </c>
      <c r="K111" s="132">
        <v>45915</v>
      </c>
      <c r="L111" s="131"/>
      <c r="M111" s="151" t="s">
        <v>207</v>
      </c>
    </row>
    <row r="112" spans="1:13" ht="42" thickBot="1" x14ac:dyDescent="0.3">
      <c r="A112" s="19">
        <v>35</v>
      </c>
      <c r="B112" s="106">
        <v>649</v>
      </c>
      <c r="C112" s="69" t="s">
        <v>205</v>
      </c>
      <c r="D112" s="21">
        <v>2508950</v>
      </c>
      <c r="E112" s="35" t="s">
        <v>31</v>
      </c>
      <c r="F112" s="23" t="s">
        <v>206</v>
      </c>
      <c r="G112" s="20" t="s">
        <v>106</v>
      </c>
      <c r="H112" s="24">
        <f t="shared" si="8"/>
        <v>20.866666666666667</v>
      </c>
      <c r="I112" s="119">
        <v>46600</v>
      </c>
      <c r="J112" s="106">
        <v>1000</v>
      </c>
      <c r="K112" s="134">
        <v>45974</v>
      </c>
      <c r="L112" s="25"/>
      <c r="M112" s="152" t="s">
        <v>208</v>
      </c>
    </row>
    <row r="113" spans="1:13" ht="15.75" thickBot="1" x14ac:dyDescent="0.3">
      <c r="A113" s="167"/>
      <c r="B113" s="168"/>
      <c r="C113" s="169"/>
      <c r="D113" s="168"/>
      <c r="E113" s="168"/>
      <c r="F113" s="170"/>
      <c r="G113" s="169"/>
      <c r="H113" s="171"/>
      <c r="I113" s="172"/>
      <c r="J113" s="173"/>
      <c r="K113" s="174"/>
      <c r="L113" s="175"/>
      <c r="M113" s="176"/>
    </row>
    <row r="114" spans="1:13" ht="41.25" x14ac:dyDescent="0.25">
      <c r="A114" s="13">
        <v>36</v>
      </c>
      <c r="B114" s="118">
        <v>650</v>
      </c>
      <c r="C114" s="91" t="s">
        <v>209</v>
      </c>
      <c r="D114" s="15" t="s">
        <v>210</v>
      </c>
      <c r="E114" s="37" t="s">
        <v>31</v>
      </c>
      <c r="F114" s="17" t="s">
        <v>211</v>
      </c>
      <c r="G114" s="14" t="s">
        <v>212</v>
      </c>
      <c r="H114" s="18">
        <f t="shared" si="8"/>
        <v>20.8</v>
      </c>
      <c r="I114" s="117">
        <v>46539</v>
      </c>
      <c r="J114" s="118">
        <v>4000</v>
      </c>
      <c r="K114" s="132">
        <v>45915</v>
      </c>
      <c r="L114" s="131"/>
      <c r="M114" s="151" t="s">
        <v>213</v>
      </c>
    </row>
    <row r="115" spans="1:13" ht="42" thickBot="1" x14ac:dyDescent="0.3">
      <c r="A115" s="19">
        <v>36</v>
      </c>
      <c r="B115" s="106">
        <v>650</v>
      </c>
      <c r="C115" s="69" t="s">
        <v>209</v>
      </c>
      <c r="D115" s="21" t="s">
        <v>214</v>
      </c>
      <c r="E115" s="35" t="s">
        <v>31</v>
      </c>
      <c r="F115" s="23" t="s">
        <v>211</v>
      </c>
      <c r="G115" s="20" t="s">
        <v>212</v>
      </c>
      <c r="H115" s="24">
        <f t="shared" si="8"/>
        <v>17.8</v>
      </c>
      <c r="I115" s="119">
        <v>46508</v>
      </c>
      <c r="J115" s="106">
        <v>1984</v>
      </c>
      <c r="K115" s="134">
        <v>45974</v>
      </c>
      <c r="L115" s="25"/>
      <c r="M115" s="152" t="s">
        <v>215</v>
      </c>
    </row>
    <row r="116" spans="1:13" ht="15.75" thickBot="1" x14ac:dyDescent="0.3">
      <c r="A116" s="167"/>
      <c r="B116" s="168"/>
      <c r="C116" s="169"/>
      <c r="D116" s="168"/>
      <c r="E116" s="168"/>
      <c r="F116" s="170"/>
      <c r="G116" s="169"/>
      <c r="H116" s="171"/>
      <c r="I116" s="172"/>
      <c r="J116" s="173"/>
      <c r="K116" s="174"/>
      <c r="L116" s="175"/>
      <c r="M116" s="176"/>
    </row>
    <row r="117" spans="1:13" ht="41.25" x14ac:dyDescent="0.25">
      <c r="A117" s="78">
        <v>37</v>
      </c>
      <c r="B117" s="15">
        <v>651</v>
      </c>
      <c r="C117" s="14" t="s">
        <v>216</v>
      </c>
      <c r="D117" s="15" t="s">
        <v>217</v>
      </c>
      <c r="E117" s="37" t="s">
        <v>31</v>
      </c>
      <c r="F117" s="17" t="s">
        <v>67</v>
      </c>
      <c r="G117" s="14" t="s">
        <v>218</v>
      </c>
      <c r="H117" s="18">
        <f t="shared" si="8"/>
        <v>20.8</v>
      </c>
      <c r="I117" s="117">
        <v>46539</v>
      </c>
      <c r="J117" s="118">
        <v>1320</v>
      </c>
      <c r="K117" s="132">
        <v>45915</v>
      </c>
      <c r="L117" s="131"/>
      <c r="M117" s="151" t="s">
        <v>219</v>
      </c>
    </row>
    <row r="118" spans="1:13" ht="41.25" x14ac:dyDescent="0.25">
      <c r="A118" s="68">
        <v>37</v>
      </c>
      <c r="B118" s="41">
        <v>651</v>
      </c>
      <c r="C118" s="40" t="s">
        <v>216</v>
      </c>
      <c r="D118" s="41" t="s">
        <v>220</v>
      </c>
      <c r="E118" s="42" t="s">
        <v>31</v>
      </c>
      <c r="F118" s="43" t="s">
        <v>67</v>
      </c>
      <c r="G118" s="40" t="s">
        <v>218</v>
      </c>
      <c r="H118" s="44">
        <f t="shared" si="8"/>
        <v>18.833333333333332</v>
      </c>
      <c r="I118" s="122">
        <v>46539</v>
      </c>
      <c r="J118" s="123">
        <v>240</v>
      </c>
      <c r="K118" s="136">
        <v>45974</v>
      </c>
      <c r="L118" s="139"/>
      <c r="M118" s="154" t="s">
        <v>221</v>
      </c>
    </row>
    <row r="119" spans="1:13" ht="42" thickBot="1" x14ac:dyDescent="0.3">
      <c r="A119" s="81">
        <v>37</v>
      </c>
      <c r="B119" s="21">
        <v>651</v>
      </c>
      <c r="C119" s="20" t="s">
        <v>216</v>
      </c>
      <c r="D119" s="21" t="s">
        <v>222</v>
      </c>
      <c r="E119" s="35" t="s">
        <v>31</v>
      </c>
      <c r="F119" s="23" t="s">
        <v>67</v>
      </c>
      <c r="G119" s="20" t="s">
        <v>218</v>
      </c>
      <c r="H119" s="24">
        <f t="shared" si="8"/>
        <v>17.633333333333333</v>
      </c>
      <c r="I119" s="119">
        <v>46508</v>
      </c>
      <c r="J119" s="106">
        <v>40</v>
      </c>
      <c r="K119" s="134">
        <v>45979</v>
      </c>
      <c r="L119" s="25"/>
      <c r="M119" s="152" t="s">
        <v>223</v>
      </c>
    </row>
    <row r="120" spans="1:13" ht="15.75" thickBot="1" x14ac:dyDescent="0.3">
      <c r="A120" s="167"/>
      <c r="B120" s="168"/>
      <c r="C120" s="169"/>
      <c r="D120" s="168"/>
      <c r="E120" s="168"/>
      <c r="F120" s="170"/>
      <c r="G120" s="169"/>
      <c r="H120" s="171"/>
      <c r="I120" s="172"/>
      <c r="J120" s="173"/>
      <c r="K120" s="174"/>
      <c r="L120" s="175"/>
      <c r="M120" s="176"/>
    </row>
    <row r="121" spans="1:13" ht="36.75" thickBot="1" x14ac:dyDescent="0.3">
      <c r="A121" s="92">
        <v>38</v>
      </c>
      <c r="B121" s="58">
        <v>652</v>
      </c>
      <c r="C121" s="57" t="s">
        <v>224</v>
      </c>
      <c r="D121" s="58"/>
      <c r="E121" s="59"/>
      <c r="F121" s="60" t="s">
        <v>225</v>
      </c>
      <c r="G121" s="57" t="s">
        <v>226</v>
      </c>
      <c r="H121" s="61">
        <f t="shared" si="8"/>
        <v>0</v>
      </c>
      <c r="I121" s="89"/>
      <c r="J121" s="86">
        <v>0</v>
      </c>
      <c r="K121" s="86"/>
      <c r="L121" s="90"/>
      <c r="M121" s="157"/>
    </row>
    <row r="122" spans="1:13" ht="15.75" thickBot="1" x14ac:dyDescent="0.3">
      <c r="A122" s="167"/>
      <c r="B122" s="168">
        <v>652</v>
      </c>
      <c r="C122" s="169"/>
      <c r="D122" s="168"/>
      <c r="E122" s="168"/>
      <c r="F122" s="170"/>
      <c r="G122" s="169"/>
      <c r="H122" s="171"/>
      <c r="I122" s="172"/>
      <c r="J122" s="173"/>
      <c r="K122" s="174"/>
      <c r="L122" s="175"/>
      <c r="M122" s="176"/>
    </row>
    <row r="123" spans="1:13" ht="41.25" x14ac:dyDescent="0.25">
      <c r="A123" s="78">
        <v>39</v>
      </c>
      <c r="B123" s="15">
        <v>653</v>
      </c>
      <c r="C123" s="14" t="s">
        <v>227</v>
      </c>
      <c r="D123" s="15">
        <v>25071953</v>
      </c>
      <c r="E123" s="15" t="s">
        <v>228</v>
      </c>
      <c r="F123" s="17" t="s">
        <v>67</v>
      </c>
      <c r="G123" s="14" t="s">
        <v>229</v>
      </c>
      <c r="H123" s="18">
        <f t="shared" si="8"/>
        <v>19.833333333333332</v>
      </c>
      <c r="I123" s="117">
        <v>46569</v>
      </c>
      <c r="J123" s="118">
        <v>1380</v>
      </c>
      <c r="K123" s="117">
        <v>45974</v>
      </c>
      <c r="L123" s="131"/>
      <c r="M123" s="151" t="s">
        <v>230</v>
      </c>
    </row>
    <row r="124" spans="1:13" ht="42" thickBot="1" x14ac:dyDescent="0.3">
      <c r="A124" s="19">
        <v>39</v>
      </c>
      <c r="B124" s="106">
        <v>653</v>
      </c>
      <c r="C124" s="20" t="s">
        <v>227</v>
      </c>
      <c r="D124" s="21">
        <v>25061672</v>
      </c>
      <c r="E124" s="82" t="s">
        <v>228</v>
      </c>
      <c r="F124" s="23" t="s">
        <v>67</v>
      </c>
      <c r="G124" s="20" t="s">
        <v>229</v>
      </c>
      <c r="H124" s="24">
        <f t="shared" si="8"/>
        <v>18.666666666666668</v>
      </c>
      <c r="I124" s="119">
        <v>46539</v>
      </c>
      <c r="J124" s="106">
        <v>87</v>
      </c>
      <c r="K124" s="119">
        <v>45979</v>
      </c>
      <c r="L124" s="25"/>
      <c r="M124" s="152" t="s">
        <v>231</v>
      </c>
    </row>
    <row r="125" spans="1:13" ht="15.75" thickBot="1" x14ac:dyDescent="0.3">
      <c r="A125" s="167"/>
      <c r="B125" s="168"/>
      <c r="C125" s="169"/>
      <c r="D125" s="168"/>
      <c r="E125" s="168"/>
      <c r="F125" s="170"/>
      <c r="G125" s="169"/>
      <c r="H125" s="171"/>
      <c r="I125" s="172"/>
      <c r="J125" s="173"/>
      <c r="K125" s="174"/>
      <c r="L125" s="175"/>
      <c r="M125" s="176"/>
    </row>
    <row r="126" spans="1:13" ht="18.75" thickBot="1" x14ac:dyDescent="0.3">
      <c r="A126" s="55">
        <v>40</v>
      </c>
      <c r="B126" s="86">
        <v>654</v>
      </c>
      <c r="C126" s="57" t="s">
        <v>232</v>
      </c>
      <c r="D126" s="58"/>
      <c r="E126" s="59"/>
      <c r="F126" s="60" t="s">
        <v>233</v>
      </c>
      <c r="G126" s="57" t="s">
        <v>234</v>
      </c>
      <c r="H126" s="61">
        <f t="shared" si="8"/>
        <v>0</v>
      </c>
      <c r="I126" s="89"/>
      <c r="J126" s="86">
        <v>0</v>
      </c>
      <c r="K126" s="86"/>
      <c r="L126" s="90"/>
      <c r="M126" s="157"/>
    </row>
    <row r="127" spans="1:13" ht="15.75" thickBot="1" x14ac:dyDescent="0.3">
      <c r="A127" s="167"/>
      <c r="B127" s="168"/>
      <c r="C127" s="169"/>
      <c r="D127" s="168"/>
      <c r="E127" s="168"/>
      <c r="F127" s="170"/>
      <c r="G127" s="169"/>
      <c r="H127" s="171"/>
      <c r="I127" s="172"/>
      <c r="J127" s="173"/>
      <c r="K127" s="174"/>
      <c r="L127" s="175"/>
      <c r="M127" s="176"/>
    </row>
    <row r="128" spans="1:13" ht="33.75" thickBot="1" x14ac:dyDescent="0.3">
      <c r="A128" s="55">
        <v>41</v>
      </c>
      <c r="B128" s="86">
        <v>655</v>
      </c>
      <c r="C128" s="57" t="s">
        <v>235</v>
      </c>
      <c r="D128" s="58" t="s">
        <v>236</v>
      </c>
      <c r="E128" s="59" t="s">
        <v>98</v>
      </c>
      <c r="F128" s="60" t="s">
        <v>206</v>
      </c>
      <c r="G128" s="57" t="s">
        <v>234</v>
      </c>
      <c r="H128" s="61">
        <f t="shared" si="8"/>
        <v>20.866666666666667</v>
      </c>
      <c r="I128" s="89">
        <v>46600</v>
      </c>
      <c r="J128" s="86">
        <v>5000</v>
      </c>
      <c r="K128" s="89">
        <v>45974</v>
      </c>
      <c r="L128" s="90"/>
      <c r="M128" s="159" t="s">
        <v>237</v>
      </c>
    </row>
    <row r="129" spans="1:13" ht="15.75" thickBot="1" x14ac:dyDescent="0.3">
      <c r="A129" s="167"/>
      <c r="B129" s="168"/>
      <c r="C129" s="169"/>
      <c r="D129" s="168"/>
      <c r="E129" s="168"/>
      <c r="F129" s="170"/>
      <c r="G129" s="169"/>
      <c r="H129" s="171"/>
      <c r="I129" s="172"/>
      <c r="J129" s="173"/>
      <c r="K129" s="174"/>
      <c r="L129" s="175"/>
      <c r="M129" s="176"/>
    </row>
    <row r="130" spans="1:13" ht="42" thickBot="1" x14ac:dyDescent="0.3">
      <c r="A130" s="55">
        <v>42</v>
      </c>
      <c r="B130" s="56">
        <v>656</v>
      </c>
      <c r="C130" s="57" t="s">
        <v>238</v>
      </c>
      <c r="D130" s="58" t="s">
        <v>239</v>
      </c>
      <c r="E130" s="93" t="s">
        <v>240</v>
      </c>
      <c r="F130" s="60" t="s">
        <v>211</v>
      </c>
      <c r="G130" s="57" t="s">
        <v>234</v>
      </c>
      <c r="H130" s="61">
        <f t="shared" si="8"/>
        <v>18.766666666666666</v>
      </c>
      <c r="I130" s="89">
        <v>46478</v>
      </c>
      <c r="J130" s="86">
        <v>1200</v>
      </c>
      <c r="K130" s="146">
        <v>45915</v>
      </c>
      <c r="L130" s="63"/>
      <c r="M130" s="159" t="s">
        <v>241</v>
      </c>
    </row>
    <row r="131" spans="1:13" ht="15.75" thickBot="1" x14ac:dyDescent="0.3">
      <c r="A131" s="167"/>
      <c r="B131" s="168">
        <v>656</v>
      </c>
      <c r="C131" s="169"/>
      <c r="D131" s="168"/>
      <c r="E131" s="168"/>
      <c r="F131" s="170"/>
      <c r="G131" s="169"/>
      <c r="H131" s="171"/>
      <c r="I131" s="172"/>
      <c r="J131" s="173"/>
      <c r="K131" s="174"/>
      <c r="L131" s="175"/>
      <c r="M131" s="176"/>
    </row>
    <row r="132" spans="1:13" ht="33.75" thickBot="1" x14ac:dyDescent="0.3">
      <c r="A132" s="55">
        <v>43</v>
      </c>
      <c r="B132" s="86">
        <v>657</v>
      </c>
      <c r="C132" s="57" t="s">
        <v>242</v>
      </c>
      <c r="D132" s="94">
        <v>19186</v>
      </c>
      <c r="E132" s="93" t="s">
        <v>243</v>
      </c>
      <c r="F132" s="60" t="s">
        <v>32</v>
      </c>
      <c r="G132" s="57" t="s">
        <v>244</v>
      </c>
      <c r="H132" s="61">
        <f t="shared" si="8"/>
        <v>14.733333333333333</v>
      </c>
      <c r="I132" s="89">
        <v>46357</v>
      </c>
      <c r="J132" s="86">
        <v>800</v>
      </c>
      <c r="K132" s="146">
        <v>45915</v>
      </c>
      <c r="L132" s="90"/>
      <c r="M132" s="159" t="s">
        <v>245</v>
      </c>
    </row>
    <row r="133" spans="1:13" ht="15.75" thickBot="1" x14ac:dyDescent="0.3">
      <c r="A133" s="167"/>
      <c r="B133" s="168"/>
      <c r="C133" s="169"/>
      <c r="D133" s="168"/>
      <c r="E133" s="168"/>
      <c r="F133" s="170"/>
      <c r="G133" s="169"/>
      <c r="H133" s="171"/>
      <c r="I133" s="172"/>
      <c r="J133" s="173"/>
      <c r="K133" s="174"/>
      <c r="L133" s="175"/>
      <c r="M133" s="176"/>
    </row>
    <row r="134" spans="1:13" ht="18.75" thickBot="1" x14ac:dyDescent="0.3">
      <c r="A134" s="55">
        <v>44</v>
      </c>
      <c r="B134" s="86">
        <v>658</v>
      </c>
      <c r="C134" s="57" t="s">
        <v>246</v>
      </c>
      <c r="D134" s="58"/>
      <c r="E134" s="59"/>
      <c r="F134" s="60" t="s">
        <v>247</v>
      </c>
      <c r="G134" s="57" t="s">
        <v>45</v>
      </c>
      <c r="H134" s="61">
        <f t="shared" si="8"/>
        <v>0</v>
      </c>
      <c r="I134" s="89"/>
      <c r="J134" s="86">
        <v>0</v>
      </c>
      <c r="K134" s="86"/>
      <c r="L134" s="90"/>
      <c r="M134" s="157"/>
    </row>
    <row r="135" spans="1:13" ht="15.75" thickBot="1" x14ac:dyDescent="0.3">
      <c r="A135" s="167"/>
      <c r="B135" s="168"/>
      <c r="C135" s="169"/>
      <c r="D135" s="168"/>
      <c r="E135" s="168"/>
      <c r="F135" s="170"/>
      <c r="G135" s="169"/>
      <c r="H135" s="171"/>
      <c r="I135" s="172"/>
      <c r="J135" s="173"/>
      <c r="K135" s="174"/>
      <c r="L135" s="175"/>
      <c r="M135" s="176"/>
    </row>
    <row r="136" spans="1:13" ht="42" thickBot="1" x14ac:dyDescent="0.3">
      <c r="A136" s="55">
        <v>45</v>
      </c>
      <c r="B136" s="86">
        <v>659</v>
      </c>
      <c r="C136" s="57" t="s">
        <v>248</v>
      </c>
      <c r="D136" s="58" t="s">
        <v>249</v>
      </c>
      <c r="E136" s="59" t="s">
        <v>31</v>
      </c>
      <c r="F136" s="60" t="s">
        <v>250</v>
      </c>
      <c r="G136" s="57" t="s">
        <v>251</v>
      </c>
      <c r="H136" s="61">
        <f t="shared" si="8"/>
        <v>17.8</v>
      </c>
      <c r="I136" s="89">
        <v>46508</v>
      </c>
      <c r="J136" s="86">
        <v>800</v>
      </c>
      <c r="K136" s="89">
        <v>45974</v>
      </c>
      <c r="L136" s="90"/>
      <c r="M136" s="159" t="s">
        <v>252</v>
      </c>
    </row>
    <row r="137" spans="1:13" ht="15.75" thickBot="1" x14ac:dyDescent="0.3">
      <c r="A137" s="167"/>
      <c r="B137" s="168"/>
      <c r="C137" s="169"/>
      <c r="D137" s="168"/>
      <c r="E137" s="168"/>
      <c r="F137" s="170"/>
      <c r="G137" s="169"/>
      <c r="H137" s="171"/>
      <c r="I137" s="172"/>
      <c r="J137" s="173"/>
      <c r="K137" s="174"/>
      <c r="L137" s="175"/>
      <c r="M137" s="176"/>
    </row>
    <row r="138" spans="1:13" ht="41.25" x14ac:dyDescent="0.25">
      <c r="A138" s="13">
        <v>46</v>
      </c>
      <c r="B138" s="118">
        <v>660</v>
      </c>
      <c r="C138" s="14" t="s">
        <v>253</v>
      </c>
      <c r="D138" s="15" t="s">
        <v>254</v>
      </c>
      <c r="E138" s="37" t="s">
        <v>255</v>
      </c>
      <c r="F138" s="17">
        <v>0.01</v>
      </c>
      <c r="G138" s="14" t="s">
        <v>256</v>
      </c>
      <c r="H138" s="18">
        <f t="shared" si="8"/>
        <v>19.766666666666666</v>
      </c>
      <c r="I138" s="117">
        <v>46508</v>
      </c>
      <c r="J138" s="118">
        <v>1190</v>
      </c>
      <c r="K138" s="132">
        <v>45915</v>
      </c>
      <c r="L138" s="131"/>
      <c r="M138" s="151" t="s">
        <v>257</v>
      </c>
    </row>
    <row r="139" spans="1:13" ht="41.25" x14ac:dyDescent="0.25">
      <c r="A139" s="38">
        <v>46</v>
      </c>
      <c r="B139" s="123">
        <v>660</v>
      </c>
      <c r="C139" s="40" t="s">
        <v>253</v>
      </c>
      <c r="D139" s="41" t="s">
        <v>254</v>
      </c>
      <c r="E139" s="42" t="s">
        <v>255</v>
      </c>
      <c r="F139" s="43">
        <v>0.01</v>
      </c>
      <c r="G139" s="40" t="s">
        <v>256</v>
      </c>
      <c r="H139" s="44">
        <f t="shared" si="8"/>
        <v>20.866666666666667</v>
      </c>
      <c r="I139" s="122">
        <v>46600</v>
      </c>
      <c r="J139" s="123">
        <v>990</v>
      </c>
      <c r="K139" s="136">
        <v>45974</v>
      </c>
      <c r="L139" s="139"/>
      <c r="M139" s="154" t="s">
        <v>257</v>
      </c>
    </row>
    <row r="140" spans="1:13" ht="42" thickBot="1" x14ac:dyDescent="0.3">
      <c r="A140" s="19">
        <v>46</v>
      </c>
      <c r="B140" s="106">
        <v>660</v>
      </c>
      <c r="C140" s="20" t="s">
        <v>253</v>
      </c>
      <c r="D140" s="21" t="s">
        <v>258</v>
      </c>
      <c r="E140" s="35" t="s">
        <v>255</v>
      </c>
      <c r="F140" s="23">
        <v>0.01</v>
      </c>
      <c r="G140" s="20" t="s">
        <v>256</v>
      </c>
      <c r="H140" s="24">
        <f t="shared" si="8"/>
        <v>17.8</v>
      </c>
      <c r="I140" s="119">
        <v>46508</v>
      </c>
      <c r="J140" s="106">
        <v>1000</v>
      </c>
      <c r="K140" s="134">
        <v>45974</v>
      </c>
      <c r="L140" s="25"/>
      <c r="M140" s="152" t="s">
        <v>259</v>
      </c>
    </row>
    <row r="141" spans="1:13" ht="15.75" thickBot="1" x14ac:dyDescent="0.3">
      <c r="A141" s="167"/>
      <c r="B141" s="168"/>
      <c r="C141" s="169"/>
      <c r="D141" s="168"/>
      <c r="E141" s="168"/>
      <c r="F141" s="170"/>
      <c r="G141" s="169"/>
      <c r="H141" s="171"/>
      <c r="I141" s="172"/>
      <c r="J141" s="173"/>
      <c r="K141" s="174"/>
      <c r="L141" s="175"/>
      <c r="M141" s="176"/>
    </row>
    <row r="142" spans="1:13" ht="33" x14ac:dyDescent="0.25">
      <c r="A142" s="45">
        <v>47</v>
      </c>
      <c r="B142" s="125">
        <v>661</v>
      </c>
      <c r="C142" s="47" t="s">
        <v>260</v>
      </c>
      <c r="D142" s="95" t="s">
        <v>261</v>
      </c>
      <c r="E142" s="46" t="s">
        <v>262</v>
      </c>
      <c r="F142" s="66" t="s">
        <v>182</v>
      </c>
      <c r="G142" s="47" t="s">
        <v>234</v>
      </c>
      <c r="H142" s="67">
        <f t="shared" si="8"/>
        <v>19.766666666666666</v>
      </c>
      <c r="I142" s="124">
        <v>46508</v>
      </c>
      <c r="J142" s="125">
        <v>840</v>
      </c>
      <c r="K142" s="147">
        <v>45915</v>
      </c>
      <c r="L142" s="138"/>
      <c r="M142" s="160" t="s">
        <v>263</v>
      </c>
    </row>
    <row r="143" spans="1:13" ht="33" x14ac:dyDescent="0.25">
      <c r="A143" s="38">
        <v>47</v>
      </c>
      <c r="B143" s="123">
        <v>661</v>
      </c>
      <c r="C143" s="40" t="s">
        <v>260</v>
      </c>
      <c r="D143" s="41" t="s">
        <v>264</v>
      </c>
      <c r="E143" s="42" t="s">
        <v>262</v>
      </c>
      <c r="F143" s="43" t="s">
        <v>182</v>
      </c>
      <c r="G143" s="40" t="s">
        <v>234</v>
      </c>
      <c r="H143" s="44">
        <f t="shared" si="8"/>
        <v>19.666666666666668</v>
      </c>
      <c r="I143" s="122">
        <v>46569</v>
      </c>
      <c r="J143" s="123">
        <v>280</v>
      </c>
      <c r="K143" s="136">
        <v>45979</v>
      </c>
      <c r="L143" s="139"/>
      <c r="M143" s="154" t="s">
        <v>265</v>
      </c>
    </row>
    <row r="144" spans="1:13" ht="33.75" thickBot="1" x14ac:dyDescent="0.3">
      <c r="A144" s="48">
        <v>47</v>
      </c>
      <c r="B144" s="72">
        <v>661</v>
      </c>
      <c r="C144" s="50" t="s">
        <v>260</v>
      </c>
      <c r="D144" s="96" t="s">
        <v>266</v>
      </c>
      <c r="E144" s="53" t="s">
        <v>262</v>
      </c>
      <c r="F144" s="49" t="s">
        <v>182</v>
      </c>
      <c r="G144" s="70" t="s">
        <v>234</v>
      </c>
      <c r="H144" s="54">
        <f t="shared" si="8"/>
        <v>17.633333333333333</v>
      </c>
      <c r="I144" s="71">
        <v>46508</v>
      </c>
      <c r="J144" s="72">
        <v>60</v>
      </c>
      <c r="K144" s="73">
        <v>45979</v>
      </c>
      <c r="L144" s="140"/>
      <c r="M144" s="156" t="s">
        <v>265</v>
      </c>
    </row>
    <row r="145" spans="1:13" ht="15.75" thickBot="1" x14ac:dyDescent="0.3">
      <c r="A145" s="167"/>
      <c r="B145" s="168"/>
      <c r="C145" s="169"/>
      <c r="D145" s="168"/>
      <c r="E145" s="168"/>
      <c r="F145" s="170"/>
      <c r="G145" s="169"/>
      <c r="H145" s="171"/>
      <c r="I145" s="172"/>
      <c r="J145" s="173"/>
      <c r="K145" s="174"/>
      <c r="L145" s="175"/>
      <c r="M145" s="176"/>
    </row>
    <row r="146" spans="1:13" ht="33" x14ac:dyDescent="0.25">
      <c r="A146" s="13">
        <v>48</v>
      </c>
      <c r="B146" s="118">
        <v>662</v>
      </c>
      <c r="C146" s="14" t="s">
        <v>267</v>
      </c>
      <c r="D146" s="15">
        <v>25554</v>
      </c>
      <c r="E146" s="79" t="s">
        <v>268</v>
      </c>
      <c r="F146" s="17" t="s">
        <v>67</v>
      </c>
      <c r="G146" s="91" t="s">
        <v>234</v>
      </c>
      <c r="H146" s="18">
        <f t="shared" si="8"/>
        <v>22.9</v>
      </c>
      <c r="I146" s="117">
        <v>46661</v>
      </c>
      <c r="J146" s="118">
        <v>1232</v>
      </c>
      <c r="K146" s="117">
        <v>45974</v>
      </c>
      <c r="L146" s="131"/>
      <c r="M146" s="151" t="s">
        <v>269</v>
      </c>
    </row>
    <row r="147" spans="1:13" ht="33.75" thickBot="1" x14ac:dyDescent="0.3">
      <c r="A147" s="19">
        <v>48</v>
      </c>
      <c r="B147" s="106">
        <v>662</v>
      </c>
      <c r="C147" s="20" t="s">
        <v>267</v>
      </c>
      <c r="D147" s="21">
        <v>25431</v>
      </c>
      <c r="E147" s="82" t="s">
        <v>268</v>
      </c>
      <c r="F147" s="23" t="s">
        <v>67</v>
      </c>
      <c r="G147" s="20" t="s">
        <v>234</v>
      </c>
      <c r="H147" s="24">
        <f t="shared" si="8"/>
        <v>22.9</v>
      </c>
      <c r="I147" s="119">
        <v>46661</v>
      </c>
      <c r="J147" s="106">
        <v>568</v>
      </c>
      <c r="K147" s="119">
        <v>45974</v>
      </c>
      <c r="L147" s="25"/>
      <c r="M147" s="152" t="s">
        <v>270</v>
      </c>
    </row>
    <row r="148" spans="1:13" ht="15.75" thickBot="1" x14ac:dyDescent="0.3">
      <c r="A148" s="167"/>
      <c r="B148" s="168"/>
      <c r="C148" s="169"/>
      <c r="D148" s="168"/>
      <c r="E148" s="168"/>
      <c r="F148" s="170"/>
      <c r="G148" s="169"/>
      <c r="H148" s="171"/>
      <c r="I148" s="172"/>
      <c r="J148" s="173"/>
      <c r="K148" s="174"/>
      <c r="L148" s="175"/>
      <c r="M148" s="176"/>
    </row>
    <row r="149" spans="1:13" ht="41.25" x14ac:dyDescent="0.25">
      <c r="A149" s="13">
        <v>49</v>
      </c>
      <c r="B149" s="118">
        <v>663</v>
      </c>
      <c r="C149" s="14" t="s">
        <v>271</v>
      </c>
      <c r="D149" s="15">
        <v>5040594</v>
      </c>
      <c r="E149" s="37" t="s">
        <v>272</v>
      </c>
      <c r="F149" s="17" t="s">
        <v>32</v>
      </c>
      <c r="G149" s="14" t="s">
        <v>273</v>
      </c>
      <c r="H149" s="18">
        <f t="shared" si="8"/>
        <v>21.666666666666668</v>
      </c>
      <c r="I149" s="117">
        <v>46565</v>
      </c>
      <c r="J149" s="118">
        <v>941</v>
      </c>
      <c r="K149" s="132">
        <v>45915</v>
      </c>
      <c r="L149" s="131"/>
      <c r="M149" s="151" t="s">
        <v>274</v>
      </c>
    </row>
    <row r="150" spans="1:13" ht="41.25" x14ac:dyDescent="0.25">
      <c r="A150" s="97">
        <v>49</v>
      </c>
      <c r="B150" s="127">
        <v>663</v>
      </c>
      <c r="C150" s="98" t="s">
        <v>271</v>
      </c>
      <c r="D150" s="99">
        <v>5040514</v>
      </c>
      <c r="E150" s="100" t="s">
        <v>272</v>
      </c>
      <c r="F150" s="101" t="s">
        <v>32</v>
      </c>
      <c r="G150" s="98" t="s">
        <v>273</v>
      </c>
      <c r="H150" s="102">
        <f t="shared" si="8"/>
        <v>19.8</v>
      </c>
      <c r="I150" s="126">
        <v>46509</v>
      </c>
      <c r="J150" s="127">
        <v>859</v>
      </c>
      <c r="K150" s="148">
        <v>45915</v>
      </c>
      <c r="L150" s="149"/>
      <c r="M150" s="166" t="s">
        <v>275</v>
      </c>
    </row>
    <row r="151" spans="1:13" ht="42" thickBot="1" x14ac:dyDescent="0.3">
      <c r="A151" s="19">
        <v>49</v>
      </c>
      <c r="B151" s="106">
        <v>663</v>
      </c>
      <c r="C151" s="20" t="s">
        <v>271</v>
      </c>
      <c r="D151" s="21">
        <v>5060791</v>
      </c>
      <c r="E151" s="35" t="s">
        <v>272</v>
      </c>
      <c r="F151" s="23" t="s">
        <v>32</v>
      </c>
      <c r="G151" s="20" t="s">
        <v>273</v>
      </c>
      <c r="H151" s="24">
        <f t="shared" si="8"/>
        <v>19.833333333333332</v>
      </c>
      <c r="I151" s="119">
        <v>46569</v>
      </c>
      <c r="J151" s="106">
        <v>372</v>
      </c>
      <c r="K151" s="134">
        <v>45974</v>
      </c>
      <c r="L151" s="25"/>
      <c r="M151" s="152" t="s">
        <v>276</v>
      </c>
    </row>
    <row r="152" spans="1:13" ht="15.75" thickBot="1" x14ac:dyDescent="0.3">
      <c r="A152" s="167"/>
      <c r="B152" s="168"/>
      <c r="C152" s="169"/>
      <c r="D152" s="168"/>
      <c r="E152" s="168"/>
      <c r="F152" s="170"/>
      <c r="G152" s="169"/>
      <c r="H152" s="171"/>
      <c r="I152" s="172"/>
      <c r="J152" s="173"/>
      <c r="K152" s="174"/>
      <c r="L152" s="175"/>
      <c r="M152" s="176"/>
    </row>
    <row r="153" spans="1:13" ht="36.75" thickBot="1" x14ac:dyDescent="0.3">
      <c r="A153" s="55">
        <v>50</v>
      </c>
      <c r="B153" s="56">
        <v>664</v>
      </c>
      <c r="C153" s="57" t="s">
        <v>277</v>
      </c>
      <c r="D153" s="58"/>
      <c r="E153" s="59"/>
      <c r="F153" s="60" t="s">
        <v>278</v>
      </c>
      <c r="G153" s="57" t="s">
        <v>279</v>
      </c>
      <c r="H153" s="61">
        <f t="shared" si="8"/>
        <v>0</v>
      </c>
      <c r="I153" s="89"/>
      <c r="J153" s="86">
        <v>0</v>
      </c>
      <c r="K153" s="56"/>
      <c r="L153" s="63"/>
      <c r="M153" s="157"/>
    </row>
    <row r="154" spans="1:13" ht="15.75" thickBot="1" x14ac:dyDescent="0.3">
      <c r="A154" s="167"/>
      <c r="B154" s="168"/>
      <c r="C154" s="169"/>
      <c r="D154" s="168"/>
      <c r="E154" s="168"/>
      <c r="F154" s="170"/>
      <c r="G154" s="169"/>
      <c r="H154" s="171"/>
      <c r="I154" s="172"/>
      <c r="J154" s="173"/>
      <c r="K154" s="174"/>
      <c r="L154" s="175"/>
      <c r="M154" s="176"/>
    </row>
    <row r="155" spans="1:13" ht="25.5" customHeight="1" thickBot="1" x14ac:dyDescent="0.3">
      <c r="A155" s="55">
        <v>51</v>
      </c>
      <c r="B155" s="86">
        <v>665</v>
      </c>
      <c r="C155" s="57" t="s">
        <v>280</v>
      </c>
      <c r="D155" s="58" t="s">
        <v>281</v>
      </c>
      <c r="E155" s="59" t="s">
        <v>282</v>
      </c>
      <c r="F155" s="60" t="s">
        <v>32</v>
      </c>
      <c r="G155" s="57" t="s">
        <v>283</v>
      </c>
      <c r="H155" s="61">
        <f t="shared" si="8"/>
        <v>15.766666666666667</v>
      </c>
      <c r="I155" s="89">
        <v>46447</v>
      </c>
      <c r="J155" s="86">
        <v>2000</v>
      </c>
      <c r="K155" s="89">
        <v>45974</v>
      </c>
      <c r="L155" s="90"/>
      <c r="M155" s="159" t="s">
        <v>284</v>
      </c>
    </row>
    <row r="156" spans="1:13" ht="15.75" thickBot="1" x14ac:dyDescent="0.3">
      <c r="A156" s="167"/>
      <c r="B156" s="168"/>
      <c r="C156" s="169"/>
      <c r="D156" s="168"/>
      <c r="E156" s="168"/>
      <c r="F156" s="170"/>
      <c r="G156" s="169"/>
      <c r="H156" s="171"/>
      <c r="I156" s="172"/>
      <c r="J156" s="173"/>
      <c r="K156" s="174"/>
      <c r="L156" s="175"/>
      <c r="M156" s="176"/>
    </row>
    <row r="157" spans="1:13" ht="18" x14ac:dyDescent="0.25">
      <c r="A157" s="13">
        <v>52</v>
      </c>
      <c r="B157" s="118">
        <v>666</v>
      </c>
      <c r="C157" s="14" t="s">
        <v>285</v>
      </c>
      <c r="D157" s="15">
        <v>430279</v>
      </c>
      <c r="E157" s="79" t="s">
        <v>286</v>
      </c>
      <c r="F157" s="17" t="s">
        <v>287</v>
      </c>
      <c r="G157" s="14" t="s">
        <v>288</v>
      </c>
      <c r="H157" s="18">
        <f t="shared" si="8"/>
        <v>13.8</v>
      </c>
      <c r="I157" s="117">
        <v>46388</v>
      </c>
      <c r="J157" s="118">
        <v>86</v>
      </c>
      <c r="K157" s="117">
        <v>45974</v>
      </c>
      <c r="L157" s="131"/>
      <c r="M157" s="161"/>
    </row>
    <row r="158" spans="1:13" ht="33" x14ac:dyDescent="0.25">
      <c r="A158" s="68">
        <v>52</v>
      </c>
      <c r="B158" s="41">
        <v>666</v>
      </c>
      <c r="C158" s="40" t="s">
        <v>285</v>
      </c>
      <c r="D158" s="41">
        <v>427871</v>
      </c>
      <c r="E158" s="80" t="s">
        <v>286</v>
      </c>
      <c r="F158" s="43" t="s">
        <v>287</v>
      </c>
      <c r="G158" s="40" t="s">
        <v>288</v>
      </c>
      <c r="H158" s="44">
        <f t="shared" si="8"/>
        <v>10.566666666666666</v>
      </c>
      <c r="I158" s="122">
        <v>46296</v>
      </c>
      <c r="J158" s="123">
        <v>85</v>
      </c>
      <c r="K158" s="122">
        <v>45979</v>
      </c>
      <c r="L158" s="139"/>
      <c r="M158" s="154" t="s">
        <v>289</v>
      </c>
    </row>
    <row r="159" spans="1:13" ht="42" thickBot="1" x14ac:dyDescent="0.3">
      <c r="A159" s="81">
        <v>52</v>
      </c>
      <c r="B159" s="21">
        <v>666</v>
      </c>
      <c r="C159" s="20" t="s">
        <v>285</v>
      </c>
      <c r="D159" s="21">
        <v>432546</v>
      </c>
      <c r="E159" s="82" t="s">
        <v>286</v>
      </c>
      <c r="F159" s="23" t="s">
        <v>287</v>
      </c>
      <c r="G159" s="20" t="s">
        <v>288</v>
      </c>
      <c r="H159" s="24">
        <f t="shared" si="8"/>
        <v>16.633333333333333</v>
      </c>
      <c r="I159" s="119">
        <v>46478</v>
      </c>
      <c r="J159" s="106">
        <v>108</v>
      </c>
      <c r="K159" s="119">
        <v>45979</v>
      </c>
      <c r="L159" s="25"/>
      <c r="M159" s="152" t="s">
        <v>290</v>
      </c>
    </row>
    <row r="160" spans="1:13" ht="15.75" thickBot="1" x14ac:dyDescent="0.3">
      <c r="A160" s="167"/>
      <c r="B160" s="168"/>
      <c r="C160" s="169"/>
      <c r="D160" s="168"/>
      <c r="E160" s="168"/>
      <c r="F160" s="170"/>
      <c r="G160" s="169"/>
      <c r="H160" s="171"/>
      <c r="I160" s="172"/>
      <c r="J160" s="173"/>
      <c r="K160" s="174"/>
      <c r="L160" s="175"/>
      <c r="M160" s="176"/>
    </row>
    <row r="161" spans="1:13" ht="54.75" thickBot="1" x14ac:dyDescent="0.3">
      <c r="A161" s="92">
        <v>53</v>
      </c>
      <c r="B161" s="58">
        <v>667</v>
      </c>
      <c r="C161" s="57" t="s">
        <v>291</v>
      </c>
      <c r="D161" s="58" t="s">
        <v>292</v>
      </c>
      <c r="E161" s="103" t="s">
        <v>31</v>
      </c>
      <c r="F161" s="60" t="s">
        <v>162</v>
      </c>
      <c r="G161" s="57" t="s">
        <v>293</v>
      </c>
      <c r="H161" s="61">
        <f t="shared" si="8"/>
        <v>13.733333333333333</v>
      </c>
      <c r="I161" s="89">
        <v>46327</v>
      </c>
      <c r="J161" s="86">
        <v>1699</v>
      </c>
      <c r="K161" s="146">
        <v>45915</v>
      </c>
      <c r="L161" s="90"/>
      <c r="M161" s="159" t="s">
        <v>294</v>
      </c>
    </row>
    <row r="162" spans="1:13" ht="15.75" thickBot="1" x14ac:dyDescent="0.3">
      <c r="A162" s="167"/>
      <c r="B162" s="168"/>
      <c r="C162" s="169"/>
      <c r="D162" s="168"/>
      <c r="E162" s="168"/>
      <c r="F162" s="170"/>
      <c r="G162" s="169"/>
      <c r="H162" s="171"/>
      <c r="I162" s="172"/>
      <c r="J162" s="173"/>
      <c r="K162" s="174"/>
      <c r="L162" s="175"/>
      <c r="M162" s="176"/>
    </row>
    <row r="163" spans="1:13" ht="42" thickBot="1" x14ac:dyDescent="0.3">
      <c r="A163" s="55">
        <v>54</v>
      </c>
      <c r="B163" s="86">
        <v>668</v>
      </c>
      <c r="C163" s="74" t="s">
        <v>295</v>
      </c>
      <c r="D163" s="58" t="s">
        <v>296</v>
      </c>
      <c r="E163" s="59" t="s">
        <v>31</v>
      </c>
      <c r="F163" s="60" t="s">
        <v>182</v>
      </c>
      <c r="G163" s="57" t="s">
        <v>297</v>
      </c>
      <c r="H163" s="61">
        <f t="shared" si="8"/>
        <v>19.833333333333332</v>
      </c>
      <c r="I163" s="89">
        <v>46569</v>
      </c>
      <c r="J163" s="86">
        <v>500</v>
      </c>
      <c r="K163" s="89">
        <v>45974</v>
      </c>
      <c r="L163" s="90"/>
      <c r="M163" s="159" t="s">
        <v>298</v>
      </c>
    </row>
    <row r="164" spans="1:13" ht="15.75" thickBot="1" x14ac:dyDescent="0.3">
      <c r="A164" s="167"/>
      <c r="B164" s="168"/>
      <c r="C164" s="169"/>
      <c r="D164" s="168"/>
      <c r="E164" s="168"/>
      <c r="F164" s="170"/>
      <c r="G164" s="169"/>
      <c r="H164" s="171"/>
      <c r="I164" s="172"/>
      <c r="J164" s="173"/>
      <c r="K164" s="174"/>
      <c r="L164" s="175"/>
      <c r="M164" s="176"/>
    </row>
    <row r="165" spans="1:13" ht="33" x14ac:dyDescent="0.25">
      <c r="A165" s="13">
        <v>55</v>
      </c>
      <c r="B165" s="118">
        <v>669</v>
      </c>
      <c r="C165" s="91" t="s">
        <v>299</v>
      </c>
      <c r="D165" s="15">
        <v>251026</v>
      </c>
      <c r="E165" s="37" t="s">
        <v>300</v>
      </c>
      <c r="F165" s="17" t="s">
        <v>301</v>
      </c>
      <c r="G165" s="14" t="s">
        <v>302</v>
      </c>
      <c r="H165" s="18">
        <f t="shared" si="8"/>
        <v>16.8</v>
      </c>
      <c r="I165" s="117">
        <v>46419</v>
      </c>
      <c r="J165" s="118">
        <v>1415</v>
      </c>
      <c r="K165" s="132">
        <v>45915</v>
      </c>
      <c r="L165" s="131"/>
      <c r="M165" s="151" t="s">
        <v>303</v>
      </c>
    </row>
    <row r="166" spans="1:13" ht="33.75" thickBot="1" x14ac:dyDescent="0.3">
      <c r="A166" s="38">
        <v>55</v>
      </c>
      <c r="B166" s="123">
        <v>669</v>
      </c>
      <c r="C166" s="84" t="s">
        <v>299</v>
      </c>
      <c r="D166" s="41">
        <v>251920</v>
      </c>
      <c r="E166" s="42" t="s">
        <v>300</v>
      </c>
      <c r="F166" s="43" t="s">
        <v>301</v>
      </c>
      <c r="G166" s="40" t="s">
        <v>302</v>
      </c>
      <c r="H166" s="44">
        <f t="shared" si="8"/>
        <v>16.8</v>
      </c>
      <c r="I166" s="122">
        <v>46478</v>
      </c>
      <c r="J166" s="123">
        <v>720</v>
      </c>
      <c r="K166" s="136">
        <v>45974</v>
      </c>
      <c r="L166" s="139"/>
      <c r="M166" s="152" t="s">
        <v>304</v>
      </c>
    </row>
    <row r="167" spans="1:13" ht="33.75" thickBot="1" x14ac:dyDescent="0.3">
      <c r="A167" s="19">
        <v>55</v>
      </c>
      <c r="B167" s="106">
        <v>669</v>
      </c>
      <c r="C167" s="69" t="s">
        <v>299</v>
      </c>
      <c r="D167" s="21">
        <v>251920</v>
      </c>
      <c r="E167" s="35" t="s">
        <v>300</v>
      </c>
      <c r="F167" s="23" t="s">
        <v>301</v>
      </c>
      <c r="G167" s="20" t="s">
        <v>302</v>
      </c>
      <c r="H167" s="24">
        <f t="shared" si="8"/>
        <v>16.633333333333333</v>
      </c>
      <c r="I167" s="119">
        <v>46478</v>
      </c>
      <c r="J167" s="106">
        <v>365</v>
      </c>
      <c r="K167" s="134">
        <v>45979</v>
      </c>
      <c r="L167" s="25"/>
      <c r="M167" s="152" t="s">
        <v>304</v>
      </c>
    </row>
    <row r="168" spans="1:13" ht="15.75" thickBot="1" x14ac:dyDescent="0.3">
      <c r="A168" s="167"/>
      <c r="B168" s="168"/>
      <c r="C168" s="169"/>
      <c r="D168" s="168"/>
      <c r="E168" s="168"/>
      <c r="F168" s="170"/>
      <c r="G168" s="169"/>
      <c r="H168" s="171"/>
      <c r="I168" s="172"/>
      <c r="J168" s="173"/>
      <c r="K168" s="174"/>
      <c r="L168" s="175"/>
      <c r="M168" s="176"/>
    </row>
    <row r="169" spans="1:13" ht="41.25" x14ac:dyDescent="0.25">
      <c r="A169" s="13">
        <v>56</v>
      </c>
      <c r="B169" s="118">
        <v>670</v>
      </c>
      <c r="C169" s="91" t="s">
        <v>305</v>
      </c>
      <c r="D169" s="15">
        <v>2506139</v>
      </c>
      <c r="E169" s="16" t="s">
        <v>306</v>
      </c>
      <c r="F169" s="17" t="s">
        <v>77</v>
      </c>
      <c r="G169" s="14" t="s">
        <v>307</v>
      </c>
      <c r="H169" s="18">
        <f t="shared" si="8"/>
        <v>18.833333333333332</v>
      </c>
      <c r="I169" s="117">
        <v>46539</v>
      </c>
      <c r="J169" s="118">
        <v>409</v>
      </c>
      <c r="K169" s="117">
        <v>45974</v>
      </c>
      <c r="L169" s="131"/>
      <c r="M169" s="151" t="s">
        <v>308</v>
      </c>
    </row>
    <row r="170" spans="1:13" ht="42" thickBot="1" x14ac:dyDescent="0.3">
      <c r="A170" s="19">
        <v>56</v>
      </c>
      <c r="B170" s="106">
        <v>670</v>
      </c>
      <c r="C170" s="69" t="s">
        <v>305</v>
      </c>
      <c r="D170" s="21">
        <v>2506136</v>
      </c>
      <c r="E170" s="22" t="s">
        <v>31</v>
      </c>
      <c r="F170" s="23" t="s">
        <v>77</v>
      </c>
      <c r="G170" s="20" t="s">
        <v>307</v>
      </c>
      <c r="H170" s="24">
        <f t="shared" si="8"/>
        <v>18.666666666666668</v>
      </c>
      <c r="I170" s="119">
        <v>46539</v>
      </c>
      <c r="J170" s="106">
        <v>88</v>
      </c>
      <c r="K170" s="119">
        <v>45979</v>
      </c>
      <c r="L170" s="25"/>
      <c r="M170" s="152" t="s">
        <v>309</v>
      </c>
    </row>
    <row r="171" spans="1:13" ht="15.75" thickBot="1" x14ac:dyDescent="0.3">
      <c r="A171" s="167"/>
      <c r="B171" s="168"/>
      <c r="C171" s="169"/>
      <c r="D171" s="168"/>
      <c r="E171" s="168"/>
      <c r="F171" s="170"/>
      <c r="G171" s="169"/>
      <c r="H171" s="171"/>
      <c r="I171" s="172"/>
      <c r="J171" s="173"/>
      <c r="K171" s="174"/>
      <c r="L171" s="175"/>
      <c r="M171" s="176"/>
    </row>
    <row r="172" spans="1:13" ht="41.25" x14ac:dyDescent="0.25">
      <c r="A172" s="13">
        <v>57</v>
      </c>
      <c r="B172" s="118">
        <v>671</v>
      </c>
      <c r="C172" s="91" t="s">
        <v>310</v>
      </c>
      <c r="D172" s="15">
        <v>25140952</v>
      </c>
      <c r="E172" s="37" t="s">
        <v>311</v>
      </c>
      <c r="F172" s="17" t="s">
        <v>32</v>
      </c>
      <c r="G172" s="14" t="s">
        <v>312</v>
      </c>
      <c r="H172" s="18">
        <f t="shared" si="8"/>
        <v>0</v>
      </c>
      <c r="I172" s="117">
        <v>46447</v>
      </c>
      <c r="J172" s="118">
        <v>2301</v>
      </c>
      <c r="K172" s="132">
        <v>46447</v>
      </c>
      <c r="L172" s="131"/>
      <c r="M172" s="151" t="s">
        <v>313</v>
      </c>
    </row>
    <row r="173" spans="1:13" ht="42" thickBot="1" x14ac:dyDescent="0.3">
      <c r="A173" s="19">
        <v>57</v>
      </c>
      <c r="B173" s="106">
        <v>671</v>
      </c>
      <c r="C173" s="69" t="s">
        <v>310</v>
      </c>
      <c r="D173" s="21">
        <v>25141394</v>
      </c>
      <c r="E173" s="35" t="s">
        <v>311</v>
      </c>
      <c r="F173" s="23" t="s">
        <v>32</v>
      </c>
      <c r="G173" s="20" t="s">
        <v>312</v>
      </c>
      <c r="H173" s="24">
        <f t="shared" si="8"/>
        <v>1.0333333333333334</v>
      </c>
      <c r="I173" s="119">
        <v>46478</v>
      </c>
      <c r="J173" s="106">
        <v>360</v>
      </c>
      <c r="K173" s="134">
        <v>46447</v>
      </c>
      <c r="L173" s="25"/>
      <c r="M173" s="152" t="s">
        <v>314</v>
      </c>
    </row>
    <row r="174" spans="1:13" ht="15.75" thickBot="1" x14ac:dyDescent="0.3">
      <c r="A174" s="167"/>
      <c r="B174" s="168"/>
      <c r="C174" s="169"/>
      <c r="D174" s="168"/>
      <c r="E174" s="168"/>
      <c r="F174" s="170"/>
      <c r="G174" s="169"/>
      <c r="H174" s="171"/>
      <c r="I174" s="172"/>
      <c r="J174" s="173"/>
      <c r="K174" s="174"/>
      <c r="L174" s="175"/>
      <c r="M174" s="176"/>
    </row>
    <row r="175" spans="1:13" x14ac:dyDescent="0.25">
      <c r="A175" s="13">
        <v>58</v>
      </c>
      <c r="B175" s="118">
        <v>672</v>
      </c>
      <c r="C175" s="91" t="s">
        <v>315</v>
      </c>
      <c r="D175" s="15">
        <v>254005</v>
      </c>
      <c r="E175" s="79" t="s">
        <v>316</v>
      </c>
      <c r="F175" s="17" t="s">
        <v>32</v>
      </c>
      <c r="G175" s="14" t="s">
        <v>106</v>
      </c>
      <c r="H175" s="18">
        <f t="shared" si="8"/>
        <v>19.833333333333332</v>
      </c>
      <c r="I175" s="117">
        <v>46569</v>
      </c>
      <c r="J175" s="118">
        <v>240</v>
      </c>
      <c r="K175" s="117">
        <v>45974</v>
      </c>
      <c r="L175" s="131"/>
      <c r="M175" s="151"/>
    </row>
    <row r="176" spans="1:13" ht="42" thickBot="1" x14ac:dyDescent="0.3">
      <c r="A176" s="19">
        <v>58</v>
      </c>
      <c r="B176" s="106">
        <v>672</v>
      </c>
      <c r="C176" s="69" t="s">
        <v>315</v>
      </c>
      <c r="D176" s="21">
        <v>253244</v>
      </c>
      <c r="E176" s="82" t="s">
        <v>316</v>
      </c>
      <c r="F176" s="23" t="s">
        <v>32</v>
      </c>
      <c r="G176" s="20" t="s">
        <v>106</v>
      </c>
      <c r="H176" s="24">
        <f t="shared" si="8"/>
        <v>18.666666666666668</v>
      </c>
      <c r="I176" s="119">
        <v>46539</v>
      </c>
      <c r="J176" s="106">
        <v>2060</v>
      </c>
      <c r="K176" s="119">
        <v>45979</v>
      </c>
      <c r="L176" s="25"/>
      <c r="M176" s="152" t="s">
        <v>317</v>
      </c>
    </row>
    <row r="177" spans="1:13" ht="15.75" thickBot="1" x14ac:dyDescent="0.3">
      <c r="A177" s="167"/>
      <c r="B177" s="168"/>
      <c r="C177" s="169"/>
      <c r="D177" s="168"/>
      <c r="E177" s="168"/>
      <c r="F177" s="170"/>
      <c r="G177" s="169"/>
      <c r="H177" s="171"/>
      <c r="I177" s="172"/>
      <c r="J177" s="173"/>
      <c r="K177" s="174"/>
      <c r="L177" s="175"/>
      <c r="M177" s="176"/>
    </row>
    <row r="178" spans="1:13" ht="15.75" thickBot="1" x14ac:dyDescent="0.3">
      <c r="A178" s="55">
        <v>59</v>
      </c>
      <c r="B178" s="56">
        <v>674</v>
      </c>
      <c r="C178" s="74" t="s">
        <v>318</v>
      </c>
      <c r="D178" s="58"/>
      <c r="E178" s="59"/>
      <c r="F178" s="60" t="s">
        <v>319</v>
      </c>
      <c r="G178" s="57" t="s">
        <v>320</v>
      </c>
      <c r="H178" s="61">
        <f t="shared" si="8"/>
        <v>0</v>
      </c>
      <c r="I178" s="89"/>
      <c r="J178" s="86">
        <v>0</v>
      </c>
      <c r="K178" s="146"/>
      <c r="L178" s="63"/>
      <c r="M178" s="157"/>
    </row>
    <row r="179" spans="1:13" ht="15.75" thickBot="1" x14ac:dyDescent="0.3">
      <c r="A179" s="167"/>
      <c r="B179" s="168"/>
      <c r="C179" s="169"/>
      <c r="D179" s="168"/>
      <c r="E179" s="168"/>
      <c r="F179" s="170"/>
      <c r="G179" s="169"/>
      <c r="H179" s="171"/>
      <c r="I179" s="172"/>
      <c r="J179" s="173"/>
      <c r="K179" s="174"/>
      <c r="L179" s="175"/>
      <c r="M179" s="176"/>
    </row>
    <row r="180" spans="1:13" ht="41.25" x14ac:dyDescent="0.25">
      <c r="A180" s="13">
        <v>60</v>
      </c>
      <c r="B180" s="118">
        <v>687</v>
      </c>
      <c r="C180" s="91" t="s">
        <v>321</v>
      </c>
      <c r="D180" s="15" t="s">
        <v>322</v>
      </c>
      <c r="E180" s="17" t="s">
        <v>323</v>
      </c>
      <c r="F180" s="17" t="s">
        <v>324</v>
      </c>
      <c r="G180" s="14" t="s">
        <v>325</v>
      </c>
      <c r="H180" s="18">
        <f t="shared" ref="H180" si="9">(I180-K180)/30</f>
        <v>30.966666666666665</v>
      </c>
      <c r="I180" s="117">
        <v>46844</v>
      </c>
      <c r="J180" s="118">
        <v>21</v>
      </c>
      <c r="K180" s="132">
        <v>45915</v>
      </c>
      <c r="L180" s="131"/>
      <c r="M180" s="151" t="s">
        <v>326</v>
      </c>
    </row>
    <row r="181" spans="1:13" ht="42" thickBot="1" x14ac:dyDescent="0.3">
      <c r="A181" s="19">
        <v>60</v>
      </c>
      <c r="B181" s="106">
        <v>687</v>
      </c>
      <c r="C181" s="69" t="s">
        <v>321</v>
      </c>
      <c r="D181" s="21" t="s">
        <v>327</v>
      </c>
      <c r="E181" s="23" t="s">
        <v>323</v>
      </c>
      <c r="F181" s="23" t="s">
        <v>324</v>
      </c>
      <c r="G181" s="20" t="s">
        <v>325</v>
      </c>
      <c r="H181" s="24">
        <f t="shared" si="8"/>
        <v>25.9</v>
      </c>
      <c r="I181" s="119">
        <v>46692</v>
      </c>
      <c r="J181" s="106">
        <v>129</v>
      </c>
      <c r="K181" s="134">
        <v>45915</v>
      </c>
      <c r="L181" s="25"/>
      <c r="M181" s="152" t="s">
        <v>328</v>
      </c>
    </row>
    <row r="182" spans="1:13" ht="15.75" thickBot="1" x14ac:dyDescent="0.3">
      <c r="A182" s="167"/>
      <c r="B182" s="168"/>
      <c r="C182" s="169"/>
      <c r="D182" s="168"/>
      <c r="E182" s="168"/>
      <c r="F182" s="170"/>
      <c r="G182" s="169"/>
      <c r="H182" s="171"/>
      <c r="I182" s="172"/>
      <c r="J182" s="173"/>
      <c r="K182" s="174"/>
      <c r="L182" s="175"/>
      <c r="M182" s="176"/>
    </row>
    <row r="183" spans="1:13" ht="33.75" thickBot="1" x14ac:dyDescent="0.3">
      <c r="A183" s="55">
        <v>61</v>
      </c>
      <c r="B183" s="125">
        <v>688</v>
      </c>
      <c r="C183" s="76" t="s">
        <v>329</v>
      </c>
      <c r="D183" s="64" t="s">
        <v>330</v>
      </c>
      <c r="E183" s="65" t="s">
        <v>31</v>
      </c>
      <c r="F183" s="66" t="s">
        <v>331</v>
      </c>
      <c r="G183" s="47" t="s">
        <v>332</v>
      </c>
      <c r="H183" s="67">
        <f t="shared" si="8"/>
        <v>18.833333333333332</v>
      </c>
      <c r="I183" s="124">
        <v>46539</v>
      </c>
      <c r="J183" s="125">
        <v>480</v>
      </c>
      <c r="K183" s="124">
        <v>45974</v>
      </c>
      <c r="L183" s="138"/>
      <c r="M183" s="160" t="s">
        <v>333</v>
      </c>
    </row>
    <row r="184" spans="1:13" ht="15.75" thickBot="1" x14ac:dyDescent="0.3">
      <c r="A184" s="167"/>
      <c r="B184" s="168"/>
      <c r="C184" s="169"/>
      <c r="D184" s="168"/>
      <c r="E184" s="168"/>
      <c r="F184" s="170"/>
      <c r="G184" s="169"/>
      <c r="H184" s="171"/>
      <c r="I184" s="172"/>
      <c r="J184" s="173"/>
      <c r="K184" s="174"/>
      <c r="L184" s="175"/>
      <c r="M184" s="176"/>
    </row>
    <row r="185" spans="1:13" ht="41.25" x14ac:dyDescent="0.25">
      <c r="A185" s="13">
        <v>62</v>
      </c>
      <c r="B185" s="118">
        <v>689</v>
      </c>
      <c r="C185" s="91" t="s">
        <v>334</v>
      </c>
      <c r="D185" s="15" t="s">
        <v>335</v>
      </c>
      <c r="E185" s="37" t="s">
        <v>336</v>
      </c>
      <c r="F185" s="17" t="s">
        <v>99</v>
      </c>
      <c r="G185" s="14" t="s">
        <v>337</v>
      </c>
      <c r="H185" s="18">
        <f t="shared" si="8"/>
        <v>20.8</v>
      </c>
      <c r="I185" s="117">
        <v>46539</v>
      </c>
      <c r="J185" s="118">
        <v>328</v>
      </c>
      <c r="K185" s="132">
        <v>45915</v>
      </c>
      <c r="L185" s="131"/>
      <c r="M185" s="151" t="s">
        <v>338</v>
      </c>
    </row>
    <row r="186" spans="1:13" ht="42" thickBot="1" x14ac:dyDescent="0.3">
      <c r="A186" s="19">
        <v>62</v>
      </c>
      <c r="B186" s="106">
        <v>689</v>
      </c>
      <c r="C186" s="69" t="s">
        <v>334</v>
      </c>
      <c r="D186" s="21" t="s">
        <v>339</v>
      </c>
      <c r="E186" s="35" t="s">
        <v>336</v>
      </c>
      <c r="F186" s="23" t="s">
        <v>99</v>
      </c>
      <c r="G186" s="20" t="s">
        <v>337</v>
      </c>
      <c r="H186" s="24">
        <f t="shared" si="8"/>
        <v>15.766666666666667</v>
      </c>
      <c r="I186" s="119">
        <v>46388</v>
      </c>
      <c r="J186" s="106">
        <v>472</v>
      </c>
      <c r="K186" s="134">
        <v>45915</v>
      </c>
      <c r="L186" s="25"/>
      <c r="M186" s="152" t="s">
        <v>340</v>
      </c>
    </row>
    <row r="187" spans="1:13" ht="15.75" thickBot="1" x14ac:dyDescent="0.3">
      <c r="A187" s="167"/>
      <c r="B187" s="168"/>
      <c r="C187" s="169"/>
      <c r="D187" s="168"/>
      <c r="E187" s="168"/>
      <c r="F187" s="170"/>
      <c r="G187" s="169"/>
      <c r="H187" s="171"/>
      <c r="I187" s="172"/>
      <c r="J187" s="173"/>
      <c r="K187" s="174"/>
      <c r="L187" s="175"/>
      <c r="M187" s="176"/>
    </row>
    <row r="188" spans="1:13" ht="41.25" x14ac:dyDescent="0.25">
      <c r="A188" s="13">
        <v>63</v>
      </c>
      <c r="B188" s="118">
        <v>690</v>
      </c>
      <c r="C188" s="91" t="s">
        <v>341</v>
      </c>
      <c r="D188" s="15">
        <v>2503202</v>
      </c>
      <c r="E188" s="37" t="s">
        <v>31</v>
      </c>
      <c r="F188" s="17" t="s">
        <v>342</v>
      </c>
      <c r="G188" s="14" t="s">
        <v>244</v>
      </c>
      <c r="H188" s="18">
        <f t="shared" si="8"/>
        <v>17.733333333333334</v>
      </c>
      <c r="I188" s="117">
        <v>46447</v>
      </c>
      <c r="J188" s="118">
        <v>450</v>
      </c>
      <c r="K188" s="132">
        <v>45915</v>
      </c>
      <c r="L188" s="131"/>
      <c r="M188" s="151" t="s">
        <v>343</v>
      </c>
    </row>
    <row r="189" spans="1:13" ht="42" thickBot="1" x14ac:dyDescent="0.3">
      <c r="A189" s="19">
        <v>63</v>
      </c>
      <c r="B189" s="106">
        <v>690</v>
      </c>
      <c r="C189" s="69" t="s">
        <v>341</v>
      </c>
      <c r="D189" s="21" t="s">
        <v>344</v>
      </c>
      <c r="E189" s="35" t="s">
        <v>31</v>
      </c>
      <c r="F189" s="23" t="s">
        <v>342</v>
      </c>
      <c r="G189" s="20" t="s">
        <v>244</v>
      </c>
      <c r="H189" s="24">
        <f t="shared" si="8"/>
        <v>18.833333333333332</v>
      </c>
      <c r="I189" s="119">
        <v>46539</v>
      </c>
      <c r="J189" s="106">
        <v>450</v>
      </c>
      <c r="K189" s="134">
        <v>45974</v>
      </c>
      <c r="L189" s="25"/>
      <c r="M189" s="152" t="s">
        <v>345</v>
      </c>
    </row>
    <row r="190" spans="1:13" ht="15.75" thickBot="1" x14ac:dyDescent="0.3">
      <c r="A190" s="167"/>
      <c r="B190" s="168"/>
      <c r="C190" s="169"/>
      <c r="D190" s="168"/>
      <c r="E190" s="168"/>
      <c r="F190" s="170"/>
      <c r="G190" s="169"/>
      <c r="H190" s="171"/>
      <c r="I190" s="172"/>
      <c r="J190" s="173"/>
      <c r="K190" s="174"/>
      <c r="L190" s="175"/>
      <c r="M190" s="176"/>
    </row>
    <row r="191" spans="1:13" ht="42" thickBot="1" x14ac:dyDescent="0.3">
      <c r="A191" s="55">
        <v>64</v>
      </c>
      <c r="B191" s="86">
        <v>691</v>
      </c>
      <c r="C191" s="74" t="s">
        <v>346</v>
      </c>
      <c r="D191" s="58">
        <v>250840</v>
      </c>
      <c r="E191" s="59" t="s">
        <v>347</v>
      </c>
      <c r="F191" s="60" t="s">
        <v>348</v>
      </c>
      <c r="G191" s="57" t="s">
        <v>244</v>
      </c>
      <c r="H191" s="61">
        <f t="shared" si="8"/>
        <v>19.833333333333332</v>
      </c>
      <c r="I191" s="89">
        <v>46569</v>
      </c>
      <c r="J191" s="86">
        <v>3000</v>
      </c>
      <c r="K191" s="89">
        <v>45974</v>
      </c>
      <c r="L191" s="90"/>
      <c r="M191" s="159" t="s">
        <v>349</v>
      </c>
    </row>
    <row r="192" spans="1:13" ht="15.75" thickBot="1" x14ac:dyDescent="0.3">
      <c r="A192" s="167"/>
      <c r="B192" s="168"/>
      <c r="C192" s="169"/>
      <c r="D192" s="168"/>
      <c r="E192" s="168"/>
      <c r="F192" s="170"/>
      <c r="G192" s="169"/>
      <c r="H192" s="171"/>
      <c r="I192" s="172"/>
      <c r="J192" s="173"/>
      <c r="K192" s="174"/>
      <c r="L192" s="175"/>
      <c r="M192" s="176"/>
    </row>
    <row r="193" spans="1:13" ht="33" x14ac:dyDescent="0.25">
      <c r="A193" s="13">
        <v>65</v>
      </c>
      <c r="B193" s="118">
        <v>692</v>
      </c>
      <c r="C193" s="91" t="s">
        <v>350</v>
      </c>
      <c r="D193" s="15">
        <v>251010</v>
      </c>
      <c r="E193" s="17" t="s">
        <v>31</v>
      </c>
      <c r="F193" s="17" t="s">
        <v>351</v>
      </c>
      <c r="G193" s="14" t="s">
        <v>169</v>
      </c>
      <c r="H193" s="18">
        <f t="shared" si="8"/>
        <v>17.733333333333334</v>
      </c>
      <c r="I193" s="117">
        <v>46447</v>
      </c>
      <c r="J193" s="118">
        <v>480</v>
      </c>
      <c r="K193" s="132">
        <v>45915</v>
      </c>
      <c r="L193" s="131"/>
      <c r="M193" s="151" t="s">
        <v>352</v>
      </c>
    </row>
    <row r="194" spans="1:13" ht="33.75" thickBot="1" x14ac:dyDescent="0.3">
      <c r="A194" s="48">
        <v>65</v>
      </c>
      <c r="B194" s="72">
        <v>692</v>
      </c>
      <c r="C194" s="70" t="s">
        <v>350</v>
      </c>
      <c r="D194" s="52">
        <v>251009</v>
      </c>
      <c r="E194" s="49" t="s">
        <v>31</v>
      </c>
      <c r="F194" s="49" t="s">
        <v>351</v>
      </c>
      <c r="G194" s="50" t="s">
        <v>169</v>
      </c>
      <c r="H194" s="54">
        <f t="shared" ref="H194:H267" si="10">(I194-K194)/30</f>
        <v>17.733333333333334</v>
      </c>
      <c r="I194" s="71">
        <v>46447</v>
      </c>
      <c r="J194" s="72">
        <v>220</v>
      </c>
      <c r="K194" s="73">
        <v>45915</v>
      </c>
      <c r="L194" s="140"/>
      <c r="M194" s="156" t="s">
        <v>353</v>
      </c>
    </row>
    <row r="195" spans="1:13" ht="15.75" thickBot="1" x14ac:dyDescent="0.3">
      <c r="A195" s="167"/>
      <c r="B195" s="168"/>
      <c r="C195" s="169"/>
      <c r="D195" s="168"/>
      <c r="E195" s="168"/>
      <c r="F195" s="170"/>
      <c r="G195" s="169"/>
      <c r="H195" s="171"/>
      <c r="I195" s="172"/>
      <c r="J195" s="173"/>
      <c r="K195" s="174"/>
      <c r="L195" s="175"/>
      <c r="M195" s="176"/>
    </row>
    <row r="196" spans="1:13" ht="41.25" x14ac:dyDescent="0.25">
      <c r="A196" s="13">
        <v>66</v>
      </c>
      <c r="B196" s="118">
        <v>693</v>
      </c>
      <c r="C196" s="91" t="s">
        <v>354</v>
      </c>
      <c r="D196" s="15" t="s">
        <v>355</v>
      </c>
      <c r="E196" s="17" t="s">
        <v>356</v>
      </c>
      <c r="F196" s="17" t="s">
        <v>357</v>
      </c>
      <c r="G196" s="14" t="s">
        <v>358</v>
      </c>
      <c r="H196" s="18">
        <f t="shared" si="10"/>
        <v>11.933333333333334</v>
      </c>
      <c r="I196" s="128">
        <v>46266</v>
      </c>
      <c r="J196" s="118">
        <v>28</v>
      </c>
      <c r="K196" s="117">
        <v>45908</v>
      </c>
      <c r="L196" s="131"/>
      <c r="M196" s="163" t="s">
        <v>359</v>
      </c>
    </row>
    <row r="197" spans="1:13" ht="41.25" x14ac:dyDescent="0.25">
      <c r="A197" s="38">
        <v>66</v>
      </c>
      <c r="B197" s="123">
        <v>693</v>
      </c>
      <c r="C197" s="84" t="s">
        <v>354</v>
      </c>
      <c r="D197" s="41" t="s">
        <v>360</v>
      </c>
      <c r="E197" s="43" t="s">
        <v>356</v>
      </c>
      <c r="F197" s="43" t="s">
        <v>357</v>
      </c>
      <c r="G197" s="40" t="s">
        <v>358</v>
      </c>
      <c r="H197" s="44">
        <f t="shared" si="10"/>
        <v>20</v>
      </c>
      <c r="I197" s="129">
        <v>46508</v>
      </c>
      <c r="J197" s="123">
        <v>132</v>
      </c>
      <c r="K197" s="122">
        <v>45908</v>
      </c>
      <c r="L197" s="139"/>
      <c r="M197" s="164" t="s">
        <v>361</v>
      </c>
    </row>
    <row r="198" spans="1:13" ht="41.25" x14ac:dyDescent="0.25">
      <c r="A198" s="38">
        <v>66</v>
      </c>
      <c r="B198" s="123">
        <v>693</v>
      </c>
      <c r="C198" s="84" t="s">
        <v>354</v>
      </c>
      <c r="D198" s="41" t="s">
        <v>362</v>
      </c>
      <c r="E198" s="43" t="s">
        <v>356</v>
      </c>
      <c r="F198" s="43" t="s">
        <v>357</v>
      </c>
      <c r="G198" s="40" t="s">
        <v>358</v>
      </c>
      <c r="H198" s="44">
        <f t="shared" si="10"/>
        <v>19</v>
      </c>
      <c r="I198" s="129">
        <v>46478</v>
      </c>
      <c r="J198" s="123">
        <v>290</v>
      </c>
      <c r="K198" s="122">
        <v>45908</v>
      </c>
      <c r="L198" s="139"/>
      <c r="M198" s="164" t="s">
        <v>363</v>
      </c>
    </row>
    <row r="199" spans="1:13" ht="41.25" x14ac:dyDescent="0.25">
      <c r="A199" s="38">
        <v>66</v>
      </c>
      <c r="B199" s="123">
        <v>693</v>
      </c>
      <c r="C199" s="84" t="s">
        <v>354</v>
      </c>
      <c r="D199" s="41" t="s">
        <v>362</v>
      </c>
      <c r="E199" s="43" t="s">
        <v>356</v>
      </c>
      <c r="F199" s="43" t="s">
        <v>357</v>
      </c>
      <c r="G199" s="40" t="s">
        <v>358</v>
      </c>
      <c r="H199" s="44">
        <f t="shared" si="10"/>
        <v>16.633333333333333</v>
      </c>
      <c r="I199" s="129">
        <v>46478</v>
      </c>
      <c r="J199" s="123">
        <v>183</v>
      </c>
      <c r="K199" s="122">
        <v>45979</v>
      </c>
      <c r="L199" s="139"/>
      <c r="M199" s="164" t="s">
        <v>363</v>
      </c>
    </row>
    <row r="200" spans="1:13" ht="41.25" x14ac:dyDescent="0.25">
      <c r="A200" s="38">
        <v>66</v>
      </c>
      <c r="B200" s="123">
        <v>693</v>
      </c>
      <c r="C200" s="84" t="s">
        <v>354</v>
      </c>
      <c r="D200" s="41" t="s">
        <v>364</v>
      </c>
      <c r="E200" s="43" t="s">
        <v>356</v>
      </c>
      <c r="F200" s="43" t="s">
        <v>357</v>
      </c>
      <c r="G200" s="40" t="s">
        <v>358</v>
      </c>
      <c r="H200" s="44">
        <f t="shared" si="10"/>
        <v>26.833333333333332</v>
      </c>
      <c r="I200" s="129">
        <v>46784</v>
      </c>
      <c r="J200" s="123">
        <v>28</v>
      </c>
      <c r="K200" s="122">
        <v>45979</v>
      </c>
      <c r="L200" s="139"/>
      <c r="M200" s="164" t="s">
        <v>365</v>
      </c>
    </row>
    <row r="201" spans="1:13" ht="41.25" x14ac:dyDescent="0.25">
      <c r="A201" s="38">
        <v>66</v>
      </c>
      <c r="B201" s="123">
        <v>693</v>
      </c>
      <c r="C201" s="84" t="s">
        <v>354</v>
      </c>
      <c r="D201" s="41" t="s">
        <v>366</v>
      </c>
      <c r="E201" s="43" t="s">
        <v>356</v>
      </c>
      <c r="F201" s="43" t="s">
        <v>357</v>
      </c>
      <c r="G201" s="40" t="s">
        <v>358</v>
      </c>
      <c r="H201" s="44">
        <f t="shared" si="10"/>
        <v>23.766666666666666</v>
      </c>
      <c r="I201" s="129">
        <v>46692</v>
      </c>
      <c r="J201" s="123">
        <v>7</v>
      </c>
      <c r="K201" s="122">
        <v>45979</v>
      </c>
      <c r="L201" s="139"/>
      <c r="M201" s="164" t="s">
        <v>367</v>
      </c>
    </row>
    <row r="202" spans="1:13" ht="41.25" x14ac:dyDescent="0.25">
      <c r="A202" s="38">
        <v>66</v>
      </c>
      <c r="B202" s="123">
        <v>693</v>
      </c>
      <c r="C202" s="84" t="s">
        <v>354</v>
      </c>
      <c r="D202" s="41" t="s">
        <v>368</v>
      </c>
      <c r="E202" s="43" t="s">
        <v>356</v>
      </c>
      <c r="F202" s="43" t="s">
        <v>357</v>
      </c>
      <c r="G202" s="40" t="s">
        <v>358</v>
      </c>
      <c r="H202" s="44">
        <f t="shared" si="10"/>
        <v>17.633333333333333</v>
      </c>
      <c r="I202" s="129">
        <v>46508</v>
      </c>
      <c r="J202" s="123">
        <v>1</v>
      </c>
      <c r="K202" s="122">
        <v>45979</v>
      </c>
      <c r="L202" s="139"/>
      <c r="M202" s="164" t="s">
        <v>369</v>
      </c>
    </row>
    <row r="203" spans="1:13" ht="42" thickBot="1" x14ac:dyDescent="0.3">
      <c r="A203" s="19">
        <v>66</v>
      </c>
      <c r="B203" s="106">
        <v>693</v>
      </c>
      <c r="C203" s="69" t="s">
        <v>354</v>
      </c>
      <c r="D203" s="21" t="s">
        <v>370</v>
      </c>
      <c r="E203" s="23" t="s">
        <v>356</v>
      </c>
      <c r="F203" s="23" t="s">
        <v>357</v>
      </c>
      <c r="G203" s="20" t="s">
        <v>358</v>
      </c>
      <c r="H203" s="24">
        <f t="shared" si="10"/>
        <v>22.733333333333334</v>
      </c>
      <c r="I203" s="130">
        <v>46661</v>
      </c>
      <c r="J203" s="106">
        <v>31</v>
      </c>
      <c r="K203" s="119">
        <v>45979</v>
      </c>
      <c r="L203" s="25"/>
      <c r="M203" s="165" t="s">
        <v>371</v>
      </c>
    </row>
    <row r="204" spans="1:13" ht="15.75" thickBot="1" x14ac:dyDescent="0.3">
      <c r="A204" s="167"/>
      <c r="B204" s="168"/>
      <c r="C204" s="169"/>
      <c r="D204" s="168"/>
      <c r="E204" s="168"/>
      <c r="F204" s="170"/>
      <c r="G204" s="169"/>
      <c r="H204" s="171"/>
      <c r="I204" s="172"/>
      <c r="J204" s="173"/>
      <c r="K204" s="174"/>
      <c r="L204" s="175"/>
      <c r="M204" s="176"/>
    </row>
    <row r="205" spans="1:13" ht="41.25" x14ac:dyDescent="0.25">
      <c r="A205" s="13">
        <v>67</v>
      </c>
      <c r="B205" s="118">
        <v>694</v>
      </c>
      <c r="C205" s="91" t="s">
        <v>372</v>
      </c>
      <c r="D205" s="15" t="s">
        <v>373</v>
      </c>
      <c r="E205" s="17" t="s">
        <v>31</v>
      </c>
      <c r="F205" s="17" t="s">
        <v>211</v>
      </c>
      <c r="G205" s="14" t="s">
        <v>374</v>
      </c>
      <c r="H205" s="18">
        <f t="shared" si="10"/>
        <v>21.8</v>
      </c>
      <c r="I205" s="117">
        <v>46569</v>
      </c>
      <c r="J205" s="118">
        <v>400</v>
      </c>
      <c r="K205" s="132">
        <v>45915</v>
      </c>
      <c r="L205" s="131"/>
      <c r="M205" s="151" t="s">
        <v>375</v>
      </c>
    </row>
    <row r="206" spans="1:13" ht="42" thickBot="1" x14ac:dyDescent="0.3">
      <c r="A206" s="19">
        <v>67</v>
      </c>
      <c r="B206" s="106">
        <v>694</v>
      </c>
      <c r="C206" s="69" t="s">
        <v>372</v>
      </c>
      <c r="D206" s="21" t="s">
        <v>376</v>
      </c>
      <c r="E206" s="23" t="s">
        <v>31</v>
      </c>
      <c r="F206" s="23" t="s">
        <v>211</v>
      </c>
      <c r="G206" s="20" t="s">
        <v>374</v>
      </c>
      <c r="H206" s="24">
        <f t="shared" si="10"/>
        <v>21.9</v>
      </c>
      <c r="I206" s="119">
        <v>46631</v>
      </c>
      <c r="J206" s="106">
        <v>200</v>
      </c>
      <c r="K206" s="134">
        <v>45974</v>
      </c>
      <c r="L206" s="25"/>
      <c r="M206" s="152" t="s">
        <v>377</v>
      </c>
    </row>
    <row r="207" spans="1:13" ht="15.75" thickBot="1" x14ac:dyDescent="0.3">
      <c r="A207" s="167"/>
      <c r="B207" s="168"/>
      <c r="C207" s="169"/>
      <c r="D207" s="168"/>
      <c r="E207" s="168"/>
      <c r="F207" s="170"/>
      <c r="G207" s="169"/>
      <c r="H207" s="171"/>
      <c r="I207" s="172"/>
      <c r="J207" s="173"/>
      <c r="K207" s="174"/>
      <c r="L207" s="175"/>
      <c r="M207" s="176"/>
    </row>
    <row r="208" spans="1:13" ht="41.25" x14ac:dyDescent="0.25">
      <c r="A208" s="13">
        <v>68</v>
      </c>
      <c r="B208" s="118">
        <v>695</v>
      </c>
      <c r="C208" s="91" t="s">
        <v>378</v>
      </c>
      <c r="D208" s="15">
        <v>2508032</v>
      </c>
      <c r="E208" s="16" t="s">
        <v>31</v>
      </c>
      <c r="F208" s="104">
        <v>0.09</v>
      </c>
      <c r="G208" s="14" t="s">
        <v>379</v>
      </c>
      <c r="H208" s="18">
        <f t="shared" si="10"/>
        <v>20.866666666666667</v>
      </c>
      <c r="I208" s="117">
        <v>46600</v>
      </c>
      <c r="J208" s="118">
        <v>480</v>
      </c>
      <c r="K208" s="117">
        <v>45974</v>
      </c>
      <c r="L208" s="131"/>
      <c r="M208" s="151" t="s">
        <v>380</v>
      </c>
    </row>
    <row r="209" spans="1:13" ht="42" thickBot="1" x14ac:dyDescent="0.3">
      <c r="A209" s="19">
        <v>68</v>
      </c>
      <c r="B209" s="106">
        <v>695</v>
      </c>
      <c r="C209" s="69" t="s">
        <v>378</v>
      </c>
      <c r="D209" s="21" t="s">
        <v>381</v>
      </c>
      <c r="E209" s="22" t="s">
        <v>31</v>
      </c>
      <c r="F209" s="105">
        <v>0.09</v>
      </c>
      <c r="G209" s="20" t="s">
        <v>379</v>
      </c>
      <c r="H209" s="24">
        <f t="shared" si="10"/>
        <v>16.8</v>
      </c>
      <c r="I209" s="119">
        <v>46478</v>
      </c>
      <c r="J209" s="106">
        <v>120</v>
      </c>
      <c r="K209" s="119">
        <v>45974</v>
      </c>
      <c r="L209" s="25"/>
      <c r="M209" s="152" t="s">
        <v>382</v>
      </c>
    </row>
    <row r="210" spans="1:13" ht="15.75" thickBot="1" x14ac:dyDescent="0.3">
      <c r="A210" s="167"/>
      <c r="B210" s="168"/>
      <c r="C210" s="169"/>
      <c r="D210" s="168"/>
      <c r="E210" s="168"/>
      <c r="F210" s="170"/>
      <c r="G210" s="169"/>
      <c r="H210" s="171"/>
      <c r="I210" s="172"/>
      <c r="J210" s="173"/>
      <c r="K210" s="174"/>
      <c r="L210" s="175"/>
      <c r="M210" s="176"/>
    </row>
    <row r="211" spans="1:13" ht="42" thickBot="1" x14ac:dyDescent="0.3">
      <c r="A211" s="55">
        <v>69</v>
      </c>
      <c r="B211" s="86">
        <v>696</v>
      </c>
      <c r="C211" s="74" t="s">
        <v>383</v>
      </c>
      <c r="D211" s="58" t="s">
        <v>384</v>
      </c>
      <c r="E211" s="59" t="s">
        <v>31</v>
      </c>
      <c r="F211" s="60" t="s">
        <v>385</v>
      </c>
      <c r="G211" s="57" t="s">
        <v>386</v>
      </c>
      <c r="H211" s="61">
        <f t="shared" si="10"/>
        <v>16.8</v>
      </c>
      <c r="I211" s="89">
        <v>46478</v>
      </c>
      <c r="J211" s="86">
        <v>1500</v>
      </c>
      <c r="K211" s="89">
        <v>45974</v>
      </c>
      <c r="L211" s="90"/>
      <c r="M211" s="159" t="s">
        <v>387</v>
      </c>
    </row>
    <row r="212" spans="1:13" ht="15.75" thickBot="1" x14ac:dyDescent="0.3">
      <c r="A212" s="167"/>
      <c r="B212" s="168"/>
      <c r="C212" s="169"/>
      <c r="D212" s="168"/>
      <c r="E212" s="168"/>
      <c r="F212" s="170"/>
      <c r="G212" s="169"/>
      <c r="H212" s="171"/>
      <c r="I212" s="172"/>
      <c r="J212" s="173"/>
      <c r="K212" s="174"/>
      <c r="L212" s="175"/>
      <c r="M212" s="176"/>
    </row>
    <row r="213" spans="1:13" ht="153.75" thickBot="1" x14ac:dyDescent="0.3">
      <c r="A213" s="55">
        <v>70</v>
      </c>
      <c r="B213" s="56">
        <v>697</v>
      </c>
      <c r="C213" s="74" t="s">
        <v>388</v>
      </c>
      <c r="D213" s="58"/>
      <c r="E213" s="75"/>
      <c r="F213" s="60" t="s">
        <v>388</v>
      </c>
      <c r="G213" s="57" t="s">
        <v>389</v>
      </c>
      <c r="H213" s="61">
        <f t="shared" si="10"/>
        <v>0</v>
      </c>
      <c r="I213" s="89"/>
      <c r="J213" s="86">
        <v>0</v>
      </c>
      <c r="K213" s="56"/>
      <c r="L213" s="63"/>
      <c r="M213" s="157"/>
    </row>
    <row r="214" spans="1:13" ht="15.75" thickBot="1" x14ac:dyDescent="0.3">
      <c r="A214" s="167"/>
      <c r="B214" s="168"/>
      <c r="C214" s="169"/>
      <c r="D214" s="168"/>
      <c r="E214" s="168"/>
      <c r="F214" s="170"/>
      <c r="G214" s="169"/>
      <c r="H214" s="171"/>
      <c r="I214" s="172"/>
      <c r="J214" s="173"/>
      <c r="K214" s="174"/>
      <c r="L214" s="175"/>
      <c r="M214" s="176"/>
    </row>
    <row r="215" spans="1:13" ht="15.75" thickBot="1" x14ac:dyDescent="0.3">
      <c r="A215" s="92">
        <v>71</v>
      </c>
      <c r="B215" s="58">
        <v>698</v>
      </c>
      <c r="C215" s="57" t="s">
        <v>390</v>
      </c>
      <c r="D215" s="58"/>
      <c r="E215" s="59"/>
      <c r="F215" s="60" t="s">
        <v>32</v>
      </c>
      <c r="G215" s="57" t="s">
        <v>391</v>
      </c>
      <c r="H215" s="61">
        <f t="shared" si="10"/>
        <v>0</v>
      </c>
      <c r="I215" s="89"/>
      <c r="J215" s="86">
        <v>0</v>
      </c>
      <c r="K215" s="86"/>
      <c r="L215" s="90"/>
      <c r="M215" s="157"/>
    </row>
    <row r="216" spans="1:13" ht="15.75" thickBot="1" x14ac:dyDescent="0.3">
      <c r="A216" s="167"/>
      <c r="B216" s="168"/>
      <c r="C216" s="169"/>
      <c r="D216" s="168"/>
      <c r="E216" s="168"/>
      <c r="F216" s="170"/>
      <c r="G216" s="169"/>
      <c r="H216" s="171"/>
      <c r="I216" s="172"/>
      <c r="J216" s="173"/>
      <c r="K216" s="174"/>
      <c r="L216" s="175"/>
      <c r="M216" s="176"/>
    </row>
    <row r="217" spans="1:13" ht="45.75" thickBot="1" x14ac:dyDescent="0.3">
      <c r="A217" s="92">
        <v>72</v>
      </c>
      <c r="B217" s="58">
        <v>699</v>
      </c>
      <c r="C217" s="57" t="s">
        <v>392</v>
      </c>
      <c r="D217" s="58"/>
      <c r="E217" s="75"/>
      <c r="F217" s="60" t="s">
        <v>130</v>
      </c>
      <c r="G217" s="57" t="s">
        <v>393</v>
      </c>
      <c r="H217" s="61">
        <f t="shared" si="10"/>
        <v>0</v>
      </c>
      <c r="I217" s="89"/>
      <c r="J217" s="86">
        <v>0</v>
      </c>
      <c r="K217" s="86"/>
      <c r="L217" s="90"/>
      <c r="M217" s="157"/>
    </row>
    <row r="218" spans="1:13" ht="15.75" thickBot="1" x14ac:dyDescent="0.3">
      <c r="A218" s="167"/>
      <c r="B218" s="168"/>
      <c r="C218" s="169"/>
      <c r="D218" s="168"/>
      <c r="E218" s="168"/>
      <c r="F218" s="170"/>
      <c r="G218" s="169"/>
      <c r="H218" s="171"/>
      <c r="I218" s="172"/>
      <c r="J218" s="173"/>
      <c r="K218" s="174"/>
      <c r="L218" s="175"/>
      <c r="M218" s="176"/>
    </row>
    <row r="219" spans="1:13" ht="41.25" x14ac:dyDescent="0.25">
      <c r="A219" s="78">
        <v>73</v>
      </c>
      <c r="B219" s="15">
        <v>700</v>
      </c>
      <c r="C219" s="14" t="s">
        <v>394</v>
      </c>
      <c r="D219" s="15" t="s">
        <v>395</v>
      </c>
      <c r="E219" s="37" t="s">
        <v>31</v>
      </c>
      <c r="F219" s="17" t="s">
        <v>206</v>
      </c>
      <c r="G219" s="14" t="s">
        <v>169</v>
      </c>
      <c r="H219" s="18">
        <f t="shared" si="10"/>
        <v>18.766666666666666</v>
      </c>
      <c r="I219" s="117">
        <v>46478</v>
      </c>
      <c r="J219" s="118">
        <v>874</v>
      </c>
      <c r="K219" s="132">
        <v>45915</v>
      </c>
      <c r="L219" s="131"/>
      <c r="M219" s="151" t="s">
        <v>396</v>
      </c>
    </row>
    <row r="220" spans="1:13" ht="42" thickBot="1" x14ac:dyDescent="0.3">
      <c r="A220" s="81">
        <v>73</v>
      </c>
      <c r="B220" s="21">
        <v>700</v>
      </c>
      <c r="C220" s="20" t="s">
        <v>394</v>
      </c>
      <c r="D220" s="21" t="s">
        <v>397</v>
      </c>
      <c r="E220" s="35" t="s">
        <v>31</v>
      </c>
      <c r="F220" s="23" t="s">
        <v>206</v>
      </c>
      <c r="G220" s="20" t="s">
        <v>169</v>
      </c>
      <c r="H220" s="24">
        <f t="shared" si="10"/>
        <v>19.833333333333332</v>
      </c>
      <c r="I220" s="119">
        <v>46569</v>
      </c>
      <c r="J220" s="106">
        <v>2700</v>
      </c>
      <c r="K220" s="134">
        <v>45974</v>
      </c>
      <c r="L220" s="25"/>
      <c r="M220" s="152" t="s">
        <v>398</v>
      </c>
    </row>
    <row r="221" spans="1:13" ht="15.75" thickBot="1" x14ac:dyDescent="0.3">
      <c r="A221" s="167"/>
      <c r="B221" s="168"/>
      <c r="C221" s="169"/>
      <c r="D221" s="168"/>
      <c r="E221" s="168"/>
      <c r="F221" s="170"/>
      <c r="G221" s="169"/>
      <c r="H221" s="171"/>
      <c r="I221" s="172"/>
      <c r="J221" s="173"/>
      <c r="K221" s="174"/>
      <c r="L221" s="175"/>
      <c r="M221" s="176"/>
    </row>
    <row r="222" spans="1:13" ht="15.75" thickBot="1" x14ac:dyDescent="0.3">
      <c r="A222" s="92">
        <v>74</v>
      </c>
      <c r="B222" s="58">
        <v>701</v>
      </c>
      <c r="C222" s="57" t="s">
        <v>399</v>
      </c>
      <c r="D222" s="58"/>
      <c r="E222" s="59"/>
      <c r="F222" s="60" t="s">
        <v>400</v>
      </c>
      <c r="G222" s="57" t="s">
        <v>391</v>
      </c>
      <c r="H222" s="61">
        <f t="shared" si="10"/>
        <v>0</v>
      </c>
      <c r="I222" s="89"/>
      <c r="J222" s="86">
        <v>0</v>
      </c>
      <c r="K222" s="86"/>
      <c r="L222" s="90"/>
      <c r="M222" s="157"/>
    </row>
    <row r="223" spans="1:13" ht="15.75" thickBot="1" x14ac:dyDescent="0.3">
      <c r="A223" s="167"/>
      <c r="B223" s="168"/>
      <c r="C223" s="169"/>
      <c r="D223" s="168"/>
      <c r="E223" s="168"/>
      <c r="F223" s="170"/>
      <c r="G223" s="169"/>
      <c r="H223" s="171"/>
      <c r="I223" s="172"/>
      <c r="J223" s="173"/>
      <c r="K223" s="174"/>
      <c r="L223" s="175"/>
      <c r="M223" s="176"/>
    </row>
    <row r="224" spans="1:13" ht="20.25" customHeight="1" thickBot="1" x14ac:dyDescent="0.3">
      <c r="A224" s="92">
        <v>75</v>
      </c>
      <c r="B224" s="58">
        <v>702</v>
      </c>
      <c r="C224" s="57" t="s">
        <v>401</v>
      </c>
      <c r="D224" s="58"/>
      <c r="E224" s="59"/>
      <c r="F224" s="60" t="s">
        <v>402</v>
      </c>
      <c r="G224" s="57" t="s">
        <v>169</v>
      </c>
      <c r="H224" s="61">
        <f t="shared" si="10"/>
        <v>0</v>
      </c>
      <c r="I224" s="89"/>
      <c r="J224" s="86">
        <v>0</v>
      </c>
      <c r="K224" s="86"/>
      <c r="L224" s="90"/>
      <c r="M224" s="157"/>
    </row>
    <row r="225" spans="1:13" ht="15.75" thickBot="1" x14ac:dyDescent="0.3">
      <c r="A225" s="167"/>
      <c r="B225" s="168"/>
      <c r="C225" s="169"/>
      <c r="D225" s="168"/>
      <c r="E225" s="168"/>
      <c r="F225" s="170"/>
      <c r="G225" s="169"/>
      <c r="H225" s="171"/>
      <c r="I225" s="172"/>
      <c r="J225" s="173"/>
      <c r="K225" s="174"/>
      <c r="L225" s="175"/>
      <c r="M225" s="176"/>
    </row>
    <row r="226" spans="1:13" ht="33" x14ac:dyDescent="0.25">
      <c r="A226" s="78">
        <v>76</v>
      </c>
      <c r="B226" s="15">
        <v>703</v>
      </c>
      <c r="C226" s="14" t="s">
        <v>403</v>
      </c>
      <c r="D226" s="15">
        <v>251195</v>
      </c>
      <c r="E226" s="79" t="s">
        <v>404</v>
      </c>
      <c r="F226" s="17" t="s">
        <v>32</v>
      </c>
      <c r="G226" s="14" t="s">
        <v>405</v>
      </c>
      <c r="H226" s="18">
        <f t="shared" si="10"/>
        <v>27.966666666666665</v>
      </c>
      <c r="I226" s="117">
        <v>46813</v>
      </c>
      <c r="J226" s="118">
        <v>1152</v>
      </c>
      <c r="K226" s="117">
        <v>45974</v>
      </c>
      <c r="L226" s="131"/>
      <c r="M226" s="151" t="s">
        <v>406</v>
      </c>
    </row>
    <row r="227" spans="1:13" ht="33.75" thickBot="1" x14ac:dyDescent="0.3">
      <c r="A227" s="81">
        <v>76</v>
      </c>
      <c r="B227" s="21">
        <v>703</v>
      </c>
      <c r="C227" s="20" t="s">
        <v>403</v>
      </c>
      <c r="D227" s="21">
        <v>251208</v>
      </c>
      <c r="E227" s="82" t="s">
        <v>404</v>
      </c>
      <c r="F227" s="23" t="s">
        <v>32</v>
      </c>
      <c r="G227" s="20" t="s">
        <v>405</v>
      </c>
      <c r="H227" s="24">
        <f t="shared" si="10"/>
        <v>27.966666666666665</v>
      </c>
      <c r="I227" s="119">
        <v>46813</v>
      </c>
      <c r="J227" s="106">
        <v>432</v>
      </c>
      <c r="K227" s="119">
        <v>45974</v>
      </c>
      <c r="L227" s="25"/>
      <c r="M227" s="152" t="s">
        <v>407</v>
      </c>
    </row>
    <row r="228" spans="1:13" ht="15.75" thickBot="1" x14ac:dyDescent="0.3">
      <c r="A228" s="167"/>
      <c r="B228" s="168"/>
      <c r="C228" s="169"/>
      <c r="D228" s="168"/>
      <c r="E228" s="168"/>
      <c r="F228" s="170"/>
      <c r="G228" s="169"/>
      <c r="H228" s="171"/>
      <c r="I228" s="172"/>
      <c r="J228" s="173"/>
      <c r="K228" s="174"/>
      <c r="L228" s="175"/>
      <c r="M228" s="176"/>
    </row>
    <row r="229" spans="1:13" ht="33" x14ac:dyDescent="0.25">
      <c r="A229" s="78">
        <v>77</v>
      </c>
      <c r="B229" s="15">
        <v>704</v>
      </c>
      <c r="C229" s="14" t="s">
        <v>408</v>
      </c>
      <c r="D229" s="15">
        <v>251143</v>
      </c>
      <c r="E229" s="79" t="s">
        <v>409</v>
      </c>
      <c r="F229" s="17" t="s">
        <v>17</v>
      </c>
      <c r="G229" s="14" t="s">
        <v>307</v>
      </c>
      <c r="H229" s="18">
        <f t="shared" ref="H229" si="11">(I229-K229)/30</f>
        <v>18.833333333333332</v>
      </c>
      <c r="I229" s="117">
        <v>46539</v>
      </c>
      <c r="J229" s="118">
        <v>895</v>
      </c>
      <c r="K229" s="117">
        <v>45974</v>
      </c>
      <c r="L229" s="131"/>
      <c r="M229" s="151" t="s">
        <v>410</v>
      </c>
    </row>
    <row r="230" spans="1:13" ht="33.75" thickBot="1" x14ac:dyDescent="0.3">
      <c r="A230" s="81">
        <v>77</v>
      </c>
      <c r="B230" s="21">
        <v>704</v>
      </c>
      <c r="C230" s="20" t="s">
        <v>408</v>
      </c>
      <c r="D230" s="21">
        <v>250770</v>
      </c>
      <c r="E230" s="82" t="s">
        <v>409</v>
      </c>
      <c r="F230" s="23" t="s">
        <v>17</v>
      </c>
      <c r="G230" s="20" t="s">
        <v>307</v>
      </c>
      <c r="H230" s="24">
        <f t="shared" si="10"/>
        <v>16.633333333333333</v>
      </c>
      <c r="I230" s="119">
        <v>46478</v>
      </c>
      <c r="J230" s="106">
        <v>30</v>
      </c>
      <c r="K230" s="119">
        <v>45979</v>
      </c>
      <c r="L230" s="25"/>
      <c r="M230" s="152" t="s">
        <v>411</v>
      </c>
    </row>
    <row r="231" spans="1:13" ht="15.75" thickBot="1" x14ac:dyDescent="0.3">
      <c r="A231" s="167"/>
      <c r="B231" s="168"/>
      <c r="C231" s="169"/>
      <c r="D231" s="168"/>
      <c r="E231" s="168"/>
      <c r="F231" s="170"/>
      <c r="G231" s="169"/>
      <c r="H231" s="171"/>
      <c r="I231" s="172"/>
      <c r="J231" s="173"/>
      <c r="K231" s="174"/>
      <c r="L231" s="175"/>
      <c r="M231" s="176"/>
    </row>
    <row r="232" spans="1:13" ht="18.75" thickBot="1" x14ac:dyDescent="0.3">
      <c r="A232" s="92">
        <v>78</v>
      </c>
      <c r="B232" s="58">
        <v>705</v>
      </c>
      <c r="C232" s="57" t="s">
        <v>412</v>
      </c>
      <c r="D232" s="58"/>
      <c r="E232" s="59"/>
      <c r="F232" s="60" t="s">
        <v>413</v>
      </c>
      <c r="G232" s="57" t="s">
        <v>414</v>
      </c>
      <c r="H232" s="61">
        <f t="shared" si="10"/>
        <v>0</v>
      </c>
      <c r="I232" s="89"/>
      <c r="J232" s="86">
        <v>0</v>
      </c>
      <c r="K232" s="86"/>
      <c r="L232" s="90"/>
      <c r="M232" s="157"/>
    </row>
    <row r="233" spans="1:13" ht="15.75" thickBot="1" x14ac:dyDescent="0.3">
      <c r="A233" s="167"/>
      <c r="B233" s="168"/>
      <c r="C233" s="169"/>
      <c r="D233" s="168"/>
      <c r="E233" s="168"/>
      <c r="F233" s="170"/>
      <c r="G233" s="169"/>
      <c r="H233" s="171"/>
      <c r="I233" s="172"/>
      <c r="J233" s="173"/>
      <c r="K233" s="174"/>
      <c r="L233" s="175"/>
      <c r="M233" s="176"/>
    </row>
    <row r="234" spans="1:13" ht="33" x14ac:dyDescent="0.25">
      <c r="A234" s="13">
        <v>79</v>
      </c>
      <c r="B234" s="32">
        <v>706</v>
      </c>
      <c r="C234" s="14" t="s">
        <v>415</v>
      </c>
      <c r="D234" s="15">
        <v>247011</v>
      </c>
      <c r="E234" s="37" t="s">
        <v>416</v>
      </c>
      <c r="F234" s="17" t="s">
        <v>417</v>
      </c>
      <c r="G234" s="14" t="s">
        <v>418</v>
      </c>
      <c r="H234" s="18">
        <f t="shared" si="10"/>
        <v>13.733333333333333</v>
      </c>
      <c r="I234" s="117">
        <v>46327</v>
      </c>
      <c r="J234" s="118">
        <v>809</v>
      </c>
      <c r="K234" s="132">
        <v>45915</v>
      </c>
      <c r="L234" s="133"/>
      <c r="M234" s="151" t="s">
        <v>419</v>
      </c>
    </row>
    <row r="235" spans="1:13" ht="33.75" thickBot="1" x14ac:dyDescent="0.3">
      <c r="A235" s="19">
        <v>79</v>
      </c>
      <c r="B235" s="34">
        <v>706</v>
      </c>
      <c r="C235" s="20" t="s">
        <v>415</v>
      </c>
      <c r="D235" s="21">
        <v>250503</v>
      </c>
      <c r="E235" s="35" t="s">
        <v>416</v>
      </c>
      <c r="F235" s="23" t="s">
        <v>417</v>
      </c>
      <c r="G235" s="20" t="s">
        <v>418</v>
      </c>
      <c r="H235" s="24">
        <f t="shared" si="10"/>
        <v>14.833333333333334</v>
      </c>
      <c r="I235" s="119">
        <v>46419</v>
      </c>
      <c r="J235" s="106">
        <v>691</v>
      </c>
      <c r="K235" s="134">
        <v>45974</v>
      </c>
      <c r="L235" s="135"/>
      <c r="M235" s="152" t="s">
        <v>420</v>
      </c>
    </row>
    <row r="236" spans="1:13" ht="15.75" thickBot="1" x14ac:dyDescent="0.3">
      <c r="A236" s="167"/>
      <c r="B236" s="168"/>
      <c r="C236" s="169"/>
      <c r="D236" s="168"/>
      <c r="E236" s="168"/>
      <c r="F236" s="170"/>
      <c r="G236" s="169"/>
      <c r="H236" s="171"/>
      <c r="I236" s="172"/>
      <c r="J236" s="173"/>
      <c r="K236" s="174"/>
      <c r="L236" s="175"/>
      <c r="M236" s="176"/>
    </row>
    <row r="237" spans="1:13" ht="41.25" x14ac:dyDescent="0.25">
      <c r="A237" s="13">
        <v>80</v>
      </c>
      <c r="B237" s="118">
        <v>707</v>
      </c>
      <c r="C237" s="14" t="s">
        <v>421</v>
      </c>
      <c r="D237" s="15" t="s">
        <v>422</v>
      </c>
      <c r="E237" s="37" t="s">
        <v>31</v>
      </c>
      <c r="F237" s="17" t="s">
        <v>77</v>
      </c>
      <c r="G237" s="14" t="s">
        <v>423</v>
      </c>
      <c r="H237" s="18">
        <f t="shared" si="10"/>
        <v>21.8</v>
      </c>
      <c r="I237" s="117">
        <v>46569</v>
      </c>
      <c r="J237" s="118">
        <v>1350</v>
      </c>
      <c r="K237" s="132">
        <v>45915</v>
      </c>
      <c r="L237" s="131"/>
      <c r="M237" s="151" t="s">
        <v>424</v>
      </c>
    </row>
    <row r="238" spans="1:13" ht="42" thickBot="1" x14ac:dyDescent="0.3">
      <c r="A238" s="19">
        <v>80</v>
      </c>
      <c r="B238" s="106">
        <v>707</v>
      </c>
      <c r="C238" s="20" t="s">
        <v>421</v>
      </c>
      <c r="D238" s="21">
        <v>2506185</v>
      </c>
      <c r="E238" s="35" t="s">
        <v>31</v>
      </c>
      <c r="F238" s="23" t="s">
        <v>77</v>
      </c>
      <c r="G238" s="20" t="s">
        <v>423</v>
      </c>
      <c r="H238" s="24">
        <f t="shared" si="10"/>
        <v>18.833333333333332</v>
      </c>
      <c r="I238" s="119">
        <v>46539</v>
      </c>
      <c r="J238" s="106">
        <v>250</v>
      </c>
      <c r="K238" s="134">
        <v>45974</v>
      </c>
      <c r="L238" s="25"/>
      <c r="M238" s="152" t="s">
        <v>425</v>
      </c>
    </row>
    <row r="239" spans="1:13" ht="15.75" thickBot="1" x14ac:dyDescent="0.3">
      <c r="A239" s="167"/>
      <c r="B239" s="168"/>
      <c r="C239" s="169"/>
      <c r="D239" s="168"/>
      <c r="E239" s="168"/>
      <c r="F239" s="170"/>
      <c r="G239" s="169"/>
      <c r="H239" s="171"/>
      <c r="I239" s="172"/>
      <c r="J239" s="173"/>
      <c r="K239" s="174"/>
      <c r="L239" s="175"/>
      <c r="M239" s="176"/>
    </row>
    <row r="240" spans="1:13" ht="42" thickBot="1" x14ac:dyDescent="0.3">
      <c r="A240" s="55">
        <v>81</v>
      </c>
      <c r="B240" s="86">
        <v>708</v>
      </c>
      <c r="C240" s="57" t="s">
        <v>426</v>
      </c>
      <c r="D240" s="86" t="s">
        <v>427</v>
      </c>
      <c r="E240" s="103" t="s">
        <v>428</v>
      </c>
      <c r="F240" s="60" t="s">
        <v>32</v>
      </c>
      <c r="G240" s="57" t="s">
        <v>24</v>
      </c>
      <c r="H240" s="61">
        <f t="shared" si="10"/>
        <v>19.766666666666666</v>
      </c>
      <c r="I240" s="89">
        <v>46508</v>
      </c>
      <c r="J240" s="86">
        <v>550</v>
      </c>
      <c r="K240" s="146">
        <v>45915</v>
      </c>
      <c r="L240" s="90"/>
      <c r="M240" s="159" t="s">
        <v>429</v>
      </c>
    </row>
    <row r="241" spans="1:13" ht="15.75" thickBot="1" x14ac:dyDescent="0.3">
      <c r="A241" s="167"/>
      <c r="B241" s="168"/>
      <c r="C241" s="169"/>
      <c r="D241" s="168"/>
      <c r="E241" s="168"/>
      <c r="F241" s="170"/>
      <c r="G241" s="169"/>
      <c r="H241" s="171"/>
      <c r="I241" s="172"/>
      <c r="J241" s="173"/>
      <c r="K241" s="174"/>
      <c r="L241" s="175"/>
      <c r="M241" s="176"/>
    </row>
    <row r="242" spans="1:13" ht="42" thickBot="1" x14ac:dyDescent="0.3">
      <c r="A242" s="107">
        <v>82</v>
      </c>
      <c r="B242" s="86">
        <v>709</v>
      </c>
      <c r="C242" s="57" t="s">
        <v>430</v>
      </c>
      <c r="D242" s="58" t="s">
        <v>431</v>
      </c>
      <c r="E242" s="75" t="s">
        <v>31</v>
      </c>
      <c r="F242" s="60" t="s">
        <v>348</v>
      </c>
      <c r="G242" s="57" t="s">
        <v>432</v>
      </c>
      <c r="H242" s="61">
        <f t="shared" si="10"/>
        <v>19.833333333333332</v>
      </c>
      <c r="I242" s="89">
        <v>46569</v>
      </c>
      <c r="J242" s="86">
        <v>700</v>
      </c>
      <c r="K242" s="89">
        <v>45974</v>
      </c>
      <c r="L242" s="90"/>
      <c r="M242" s="159" t="s">
        <v>433</v>
      </c>
    </row>
    <row r="243" spans="1:13" ht="15.75" thickBot="1" x14ac:dyDescent="0.3">
      <c r="A243" s="167"/>
      <c r="B243" s="168"/>
      <c r="C243" s="169"/>
      <c r="D243" s="168"/>
      <c r="E243" s="168"/>
      <c r="F243" s="170"/>
      <c r="G243" s="169"/>
      <c r="H243" s="171"/>
      <c r="I243" s="172"/>
      <c r="J243" s="173"/>
      <c r="K243" s="174"/>
      <c r="L243" s="175"/>
      <c r="M243" s="176"/>
    </row>
    <row r="244" spans="1:13" ht="42" thickBot="1" x14ac:dyDescent="0.3">
      <c r="A244" s="107">
        <v>83</v>
      </c>
      <c r="B244" s="86">
        <v>710</v>
      </c>
      <c r="C244" s="57" t="s">
        <v>434</v>
      </c>
      <c r="D244" s="58" t="s">
        <v>435</v>
      </c>
      <c r="E244" s="60" t="s">
        <v>436</v>
      </c>
      <c r="F244" s="60" t="s">
        <v>67</v>
      </c>
      <c r="G244" s="57" t="s">
        <v>437</v>
      </c>
      <c r="H244" s="61">
        <f t="shared" si="10"/>
        <v>19.766666666666666</v>
      </c>
      <c r="I244" s="89">
        <v>46508</v>
      </c>
      <c r="J244" s="86">
        <v>500</v>
      </c>
      <c r="K244" s="146">
        <v>45915</v>
      </c>
      <c r="L244" s="90"/>
      <c r="M244" s="159" t="s">
        <v>438</v>
      </c>
    </row>
    <row r="245" spans="1:13" ht="15.75" thickBot="1" x14ac:dyDescent="0.3">
      <c r="A245" s="167"/>
      <c r="B245" s="168"/>
      <c r="C245" s="169"/>
      <c r="D245" s="168"/>
      <c r="E245" s="168"/>
      <c r="F245" s="170"/>
      <c r="G245" s="169"/>
      <c r="H245" s="171"/>
      <c r="I245" s="172"/>
      <c r="J245" s="173"/>
      <c r="K245" s="174"/>
      <c r="L245" s="175"/>
      <c r="M245" s="176"/>
    </row>
    <row r="246" spans="1:13" ht="33.75" thickBot="1" x14ac:dyDescent="0.3">
      <c r="A246" s="107">
        <v>84</v>
      </c>
      <c r="B246" s="86">
        <v>711</v>
      </c>
      <c r="C246" s="57" t="s">
        <v>439</v>
      </c>
      <c r="D246" s="58">
        <v>51770</v>
      </c>
      <c r="E246" s="75" t="s">
        <v>31</v>
      </c>
      <c r="F246" s="60" t="s">
        <v>319</v>
      </c>
      <c r="G246" s="57" t="s">
        <v>169</v>
      </c>
      <c r="H246" s="61">
        <f t="shared" si="10"/>
        <v>20.866666666666667</v>
      </c>
      <c r="I246" s="89">
        <v>46600</v>
      </c>
      <c r="J246" s="86">
        <v>499</v>
      </c>
      <c r="K246" s="89">
        <v>45974</v>
      </c>
      <c r="L246" s="90"/>
      <c r="M246" s="159" t="s">
        <v>440</v>
      </c>
    </row>
    <row r="247" spans="1:13" ht="15.75" thickBot="1" x14ac:dyDescent="0.3">
      <c r="A247" s="167"/>
      <c r="B247" s="168"/>
      <c r="C247" s="169"/>
      <c r="D247" s="168"/>
      <c r="E247" s="168"/>
      <c r="F247" s="170"/>
      <c r="G247" s="169"/>
      <c r="H247" s="171"/>
      <c r="I247" s="172"/>
      <c r="J247" s="173"/>
      <c r="K247" s="174"/>
      <c r="L247" s="175"/>
      <c r="M247" s="176"/>
    </row>
    <row r="248" spans="1:13" ht="18.75" thickBot="1" x14ac:dyDescent="0.3">
      <c r="A248" s="108">
        <v>85</v>
      </c>
      <c r="B248" s="64">
        <v>712</v>
      </c>
      <c r="C248" s="47" t="s">
        <v>441</v>
      </c>
      <c r="D248" s="64"/>
      <c r="E248" s="77"/>
      <c r="F248" s="66" t="s">
        <v>206</v>
      </c>
      <c r="G248" s="47" t="s">
        <v>442</v>
      </c>
      <c r="H248" s="67">
        <f t="shared" si="10"/>
        <v>0</v>
      </c>
      <c r="I248" s="124"/>
      <c r="J248" s="125">
        <v>0</v>
      </c>
      <c r="K248" s="125"/>
      <c r="L248" s="138"/>
      <c r="M248" s="158"/>
    </row>
    <row r="249" spans="1:13" ht="15.75" thickBot="1" x14ac:dyDescent="0.3">
      <c r="A249" s="167"/>
      <c r="B249" s="168"/>
      <c r="C249" s="169"/>
      <c r="D249" s="168"/>
      <c r="E249" s="168"/>
      <c r="F249" s="170"/>
      <c r="G249" s="169"/>
      <c r="H249" s="171"/>
      <c r="I249" s="172"/>
      <c r="J249" s="173"/>
      <c r="K249" s="174"/>
      <c r="L249" s="175"/>
      <c r="M249" s="176"/>
    </row>
    <row r="250" spans="1:13" ht="42" thickBot="1" x14ac:dyDescent="0.3">
      <c r="A250" s="109">
        <v>86</v>
      </c>
      <c r="B250" s="15">
        <v>713</v>
      </c>
      <c r="C250" s="14" t="s">
        <v>443</v>
      </c>
      <c r="D250" s="15" t="s">
        <v>444</v>
      </c>
      <c r="E250" s="16" t="s">
        <v>445</v>
      </c>
      <c r="F250" s="17" t="s">
        <v>206</v>
      </c>
      <c r="G250" s="14" t="s">
        <v>446</v>
      </c>
      <c r="H250" s="18">
        <f t="shared" ref="H250:H251" si="12">(I250-K250)/30</f>
        <v>18.833333333333332</v>
      </c>
      <c r="I250" s="117">
        <v>46539</v>
      </c>
      <c r="J250" s="118">
        <v>2140</v>
      </c>
      <c r="K250" s="117">
        <v>45974</v>
      </c>
      <c r="L250" s="131"/>
      <c r="M250" s="152" t="s">
        <v>447</v>
      </c>
    </row>
    <row r="251" spans="1:13" ht="42" thickBot="1" x14ac:dyDescent="0.3">
      <c r="A251" s="110">
        <v>86</v>
      </c>
      <c r="B251" s="21">
        <v>713</v>
      </c>
      <c r="C251" s="20" t="s">
        <v>443</v>
      </c>
      <c r="D251" s="21" t="s">
        <v>444</v>
      </c>
      <c r="E251" s="22" t="s">
        <v>445</v>
      </c>
      <c r="F251" s="23" t="s">
        <v>206</v>
      </c>
      <c r="G251" s="20" t="s">
        <v>446</v>
      </c>
      <c r="H251" s="24">
        <f t="shared" si="12"/>
        <v>18.666666666666668</v>
      </c>
      <c r="I251" s="119">
        <v>46539</v>
      </c>
      <c r="J251" s="106">
        <v>1113</v>
      </c>
      <c r="K251" s="119">
        <v>45979</v>
      </c>
      <c r="L251" s="25"/>
      <c r="M251" s="152" t="s">
        <v>447</v>
      </c>
    </row>
    <row r="252" spans="1:13" ht="15.75" thickBot="1" x14ac:dyDescent="0.3">
      <c r="A252" s="167"/>
      <c r="B252" s="168"/>
      <c r="C252" s="169"/>
      <c r="D252" s="168"/>
      <c r="E252" s="168"/>
      <c r="F252" s="170"/>
      <c r="G252" s="169"/>
      <c r="H252" s="171"/>
      <c r="I252" s="172"/>
      <c r="J252" s="173"/>
      <c r="K252" s="174"/>
      <c r="L252" s="175"/>
      <c r="M252" s="176"/>
    </row>
    <row r="253" spans="1:13" ht="33.75" thickBot="1" x14ac:dyDescent="0.3">
      <c r="A253" s="55">
        <v>87</v>
      </c>
      <c r="B253" s="86">
        <v>715</v>
      </c>
      <c r="C253" s="74" t="s">
        <v>448</v>
      </c>
      <c r="D253" s="58">
        <v>3630725</v>
      </c>
      <c r="E253" s="111" t="s">
        <v>31</v>
      </c>
      <c r="F253" s="60" t="s">
        <v>122</v>
      </c>
      <c r="G253" s="57" t="s">
        <v>449</v>
      </c>
      <c r="H253" s="61">
        <f t="shared" si="10"/>
        <v>19.833333333333332</v>
      </c>
      <c r="I253" s="89">
        <v>46569</v>
      </c>
      <c r="J253" s="86">
        <v>1500</v>
      </c>
      <c r="K253" s="89">
        <v>45974</v>
      </c>
      <c r="L253" s="90"/>
      <c r="M253" s="159" t="s">
        <v>450</v>
      </c>
    </row>
    <row r="254" spans="1:13" ht="15.75" thickBot="1" x14ac:dyDescent="0.3">
      <c r="A254" s="167"/>
      <c r="B254" s="168"/>
      <c r="C254" s="169"/>
      <c r="D254" s="168"/>
      <c r="E254" s="168"/>
      <c r="F254" s="170"/>
      <c r="G254" s="169"/>
      <c r="H254" s="171"/>
      <c r="I254" s="172"/>
      <c r="J254" s="173"/>
      <c r="K254" s="174"/>
      <c r="L254" s="175"/>
      <c r="M254" s="176"/>
    </row>
    <row r="255" spans="1:13" ht="42" thickBot="1" x14ac:dyDescent="0.3">
      <c r="A255" s="55">
        <v>88</v>
      </c>
      <c r="B255" s="86">
        <v>716</v>
      </c>
      <c r="C255" s="74" t="s">
        <v>451</v>
      </c>
      <c r="D255" s="58">
        <v>3930725</v>
      </c>
      <c r="E255" s="112" t="s">
        <v>31</v>
      </c>
      <c r="F255" s="60" t="s">
        <v>122</v>
      </c>
      <c r="G255" s="57" t="s">
        <v>391</v>
      </c>
      <c r="H255" s="61">
        <f t="shared" si="10"/>
        <v>19.833333333333332</v>
      </c>
      <c r="I255" s="89">
        <v>46569</v>
      </c>
      <c r="J255" s="86">
        <v>50</v>
      </c>
      <c r="K255" s="89">
        <v>45974</v>
      </c>
      <c r="L255" s="90"/>
      <c r="M255" s="159" t="s">
        <v>452</v>
      </c>
    </row>
    <row r="256" spans="1:13" ht="15.75" thickBot="1" x14ac:dyDescent="0.3">
      <c r="A256" s="167"/>
      <c r="B256" s="168"/>
      <c r="C256" s="169"/>
      <c r="D256" s="168"/>
      <c r="E256" s="168"/>
      <c r="F256" s="170"/>
      <c r="G256" s="169"/>
      <c r="H256" s="171"/>
      <c r="I256" s="172"/>
      <c r="J256" s="173"/>
      <c r="K256" s="174"/>
      <c r="L256" s="175"/>
      <c r="M256" s="176"/>
    </row>
    <row r="257" spans="1:13" ht="42" thickBot="1" x14ac:dyDescent="0.3">
      <c r="A257" s="55">
        <v>89</v>
      </c>
      <c r="B257" s="86">
        <v>675</v>
      </c>
      <c r="C257" s="74" t="s">
        <v>453</v>
      </c>
      <c r="D257" s="58" t="s">
        <v>454</v>
      </c>
      <c r="E257" s="112" t="s">
        <v>31</v>
      </c>
      <c r="F257" s="60" t="s">
        <v>455</v>
      </c>
      <c r="G257" s="57" t="s">
        <v>456</v>
      </c>
      <c r="H257" s="61">
        <f t="shared" si="10"/>
        <v>14.666666666666666</v>
      </c>
      <c r="I257" s="89">
        <v>46419</v>
      </c>
      <c r="J257" s="86">
        <v>100</v>
      </c>
      <c r="K257" s="89">
        <v>45979</v>
      </c>
      <c r="L257" s="90"/>
      <c r="M257" s="159" t="s">
        <v>457</v>
      </c>
    </row>
    <row r="258" spans="1:13" ht="15.75" thickBot="1" x14ac:dyDescent="0.3">
      <c r="A258" s="167"/>
      <c r="B258" s="168"/>
      <c r="C258" s="169"/>
      <c r="D258" s="168"/>
      <c r="E258" s="168"/>
      <c r="F258" s="170"/>
      <c r="G258" s="169"/>
      <c r="H258" s="171"/>
      <c r="I258" s="172"/>
      <c r="J258" s="173"/>
      <c r="K258" s="174"/>
      <c r="L258" s="175"/>
      <c r="M258" s="176"/>
    </row>
    <row r="259" spans="1:13" ht="18.75" thickBot="1" x14ac:dyDescent="0.3">
      <c r="A259" s="55">
        <v>90</v>
      </c>
      <c r="B259" s="86">
        <v>676</v>
      </c>
      <c r="C259" s="74" t="s">
        <v>458</v>
      </c>
      <c r="D259" s="58"/>
      <c r="E259" s="112"/>
      <c r="F259" s="60" t="s">
        <v>459</v>
      </c>
      <c r="G259" s="57" t="s">
        <v>460</v>
      </c>
      <c r="H259" s="61">
        <f t="shared" si="10"/>
        <v>0</v>
      </c>
      <c r="I259" s="89"/>
      <c r="J259" s="86">
        <v>0</v>
      </c>
      <c r="K259" s="86"/>
      <c r="L259" s="90"/>
      <c r="M259" s="157"/>
    </row>
    <row r="260" spans="1:13" ht="15.75" thickBot="1" x14ac:dyDescent="0.3">
      <c r="A260" s="167"/>
      <c r="B260" s="168"/>
      <c r="C260" s="169"/>
      <c r="D260" s="168"/>
      <c r="E260" s="168"/>
      <c r="F260" s="170"/>
      <c r="G260" s="169"/>
      <c r="H260" s="171"/>
      <c r="I260" s="172"/>
      <c r="J260" s="173"/>
      <c r="K260" s="174"/>
      <c r="L260" s="175"/>
      <c r="M260" s="176"/>
    </row>
    <row r="261" spans="1:13" ht="42" thickBot="1" x14ac:dyDescent="0.3">
      <c r="A261" s="55">
        <v>91</v>
      </c>
      <c r="B261" s="86">
        <v>677</v>
      </c>
      <c r="C261" s="74" t="s">
        <v>461</v>
      </c>
      <c r="D261" s="58">
        <v>25020118</v>
      </c>
      <c r="E261" s="58" t="s">
        <v>31</v>
      </c>
      <c r="F261" s="60" t="s">
        <v>225</v>
      </c>
      <c r="G261" s="57" t="s">
        <v>169</v>
      </c>
      <c r="H261" s="61">
        <f t="shared" si="10"/>
        <v>29.933333333333334</v>
      </c>
      <c r="I261" s="89">
        <v>46813</v>
      </c>
      <c r="J261" s="86">
        <v>300</v>
      </c>
      <c r="K261" s="146">
        <v>45915</v>
      </c>
      <c r="L261" s="90"/>
      <c r="M261" s="159" t="s">
        <v>462</v>
      </c>
    </row>
    <row r="262" spans="1:13" ht="15.75" thickBot="1" x14ac:dyDescent="0.3">
      <c r="A262" s="167"/>
      <c r="B262" s="168"/>
      <c r="C262" s="169"/>
      <c r="D262" s="168"/>
      <c r="E262" s="168"/>
      <c r="F262" s="170"/>
      <c r="G262" s="169"/>
      <c r="H262" s="171"/>
      <c r="I262" s="172"/>
      <c r="J262" s="173"/>
      <c r="K262" s="174"/>
      <c r="L262" s="175"/>
      <c r="M262" s="176"/>
    </row>
    <row r="263" spans="1:13" ht="42" thickBot="1" x14ac:dyDescent="0.3">
      <c r="A263" s="55">
        <v>92</v>
      </c>
      <c r="B263" s="86">
        <v>678</v>
      </c>
      <c r="C263" s="74" t="s">
        <v>463</v>
      </c>
      <c r="D263" s="58" t="s">
        <v>464</v>
      </c>
      <c r="E263" s="75" t="s">
        <v>31</v>
      </c>
      <c r="F263" s="60" t="s">
        <v>118</v>
      </c>
      <c r="G263" s="57" t="s">
        <v>106</v>
      </c>
      <c r="H263" s="61">
        <f t="shared" si="10"/>
        <v>16.633333333333333</v>
      </c>
      <c r="I263" s="89">
        <v>46478</v>
      </c>
      <c r="J263" s="86">
        <v>47</v>
      </c>
      <c r="K263" s="89">
        <v>45979</v>
      </c>
      <c r="L263" s="90"/>
      <c r="M263" s="159" t="s">
        <v>465</v>
      </c>
    </row>
    <row r="264" spans="1:13" ht="15.75" thickBot="1" x14ac:dyDescent="0.3">
      <c r="A264" s="167"/>
      <c r="B264" s="168"/>
      <c r="C264" s="169"/>
      <c r="D264" s="168"/>
      <c r="E264" s="168"/>
      <c r="F264" s="170"/>
      <c r="G264" s="169"/>
      <c r="H264" s="171"/>
      <c r="I264" s="172"/>
      <c r="J264" s="173"/>
      <c r="K264" s="174"/>
      <c r="L264" s="175"/>
      <c r="M264" s="176"/>
    </row>
    <row r="265" spans="1:13" ht="18.75" thickBot="1" x14ac:dyDescent="0.3">
      <c r="A265" s="55">
        <v>93</v>
      </c>
      <c r="B265" s="86">
        <v>680</v>
      </c>
      <c r="C265" s="74" t="s">
        <v>466</v>
      </c>
      <c r="D265" s="58"/>
      <c r="E265" s="113"/>
      <c r="F265" s="60" t="s">
        <v>467</v>
      </c>
      <c r="G265" s="57" t="s">
        <v>468</v>
      </c>
      <c r="H265" s="61">
        <f t="shared" si="10"/>
        <v>0</v>
      </c>
      <c r="I265" s="89"/>
      <c r="J265" s="86">
        <v>0</v>
      </c>
      <c r="K265" s="86"/>
      <c r="L265" s="90"/>
      <c r="M265" s="157"/>
    </row>
    <row r="266" spans="1:13" ht="15.75" thickBot="1" x14ac:dyDescent="0.3">
      <c r="A266" s="167"/>
      <c r="B266" s="168"/>
      <c r="C266" s="169"/>
      <c r="D266" s="168"/>
      <c r="E266" s="168"/>
      <c r="F266" s="170"/>
      <c r="G266" s="169"/>
      <c r="H266" s="171"/>
      <c r="I266" s="172"/>
      <c r="J266" s="173"/>
      <c r="K266" s="174"/>
      <c r="L266" s="175"/>
      <c r="M266" s="176"/>
    </row>
    <row r="267" spans="1:13" ht="33.75" thickBot="1" x14ac:dyDescent="0.3">
      <c r="A267" s="55">
        <v>94</v>
      </c>
      <c r="B267" s="56">
        <v>681</v>
      </c>
      <c r="C267" s="74" t="s">
        <v>469</v>
      </c>
      <c r="D267" s="58" t="s">
        <v>470</v>
      </c>
      <c r="E267" s="112" t="s">
        <v>471</v>
      </c>
      <c r="F267" s="60" t="s">
        <v>472</v>
      </c>
      <c r="G267" s="57" t="s">
        <v>473</v>
      </c>
      <c r="H267" s="61">
        <f t="shared" si="10"/>
        <v>9.7333333333333325</v>
      </c>
      <c r="I267" s="89">
        <v>46266</v>
      </c>
      <c r="J267" s="86">
        <v>20</v>
      </c>
      <c r="K267" s="146">
        <v>45974</v>
      </c>
      <c r="L267" s="63"/>
      <c r="M267" s="159" t="s">
        <v>474</v>
      </c>
    </row>
    <row r="268" spans="1:13" ht="15.75" thickBot="1" x14ac:dyDescent="0.3">
      <c r="A268" s="167"/>
      <c r="B268" s="168"/>
      <c r="C268" s="169"/>
      <c r="D268" s="168"/>
      <c r="E268" s="168"/>
      <c r="F268" s="170"/>
      <c r="G268" s="169"/>
      <c r="H268" s="171"/>
      <c r="I268" s="172"/>
      <c r="J268" s="173"/>
      <c r="K268" s="174"/>
      <c r="L268" s="175"/>
      <c r="M268" s="176"/>
    </row>
    <row r="269" spans="1:13" ht="63.75" thickBot="1" x14ac:dyDescent="0.3">
      <c r="A269" s="92">
        <v>95</v>
      </c>
      <c r="B269" s="60">
        <v>682</v>
      </c>
      <c r="C269" s="57" t="s">
        <v>475</v>
      </c>
      <c r="D269" s="58"/>
      <c r="E269" s="112" t="s">
        <v>31</v>
      </c>
      <c r="F269" s="60" t="s">
        <v>476</v>
      </c>
      <c r="G269" s="57" t="s">
        <v>477</v>
      </c>
      <c r="H269" s="61">
        <f t="shared" ref="H269:H279" si="13">(I269-K269)/30</f>
        <v>0</v>
      </c>
      <c r="I269" s="89"/>
      <c r="J269" s="86">
        <v>0</v>
      </c>
      <c r="K269" s="56"/>
      <c r="L269" s="63"/>
      <c r="M269" s="157"/>
    </row>
    <row r="270" spans="1:13" ht="15.75" thickBot="1" x14ac:dyDescent="0.3">
      <c r="A270" s="167"/>
      <c r="B270" s="168"/>
      <c r="C270" s="169"/>
      <c r="D270" s="168"/>
      <c r="E270" s="168"/>
      <c r="F270" s="170"/>
      <c r="G270" s="169"/>
      <c r="H270" s="171"/>
      <c r="I270" s="172"/>
      <c r="J270" s="173"/>
      <c r="K270" s="174"/>
      <c r="L270" s="175"/>
      <c r="M270" s="176"/>
    </row>
    <row r="271" spans="1:13" ht="33.75" thickBot="1" x14ac:dyDescent="0.3">
      <c r="A271" s="78">
        <v>96</v>
      </c>
      <c r="B271" s="15">
        <v>683</v>
      </c>
      <c r="C271" s="14" t="s">
        <v>271</v>
      </c>
      <c r="D271" s="15" t="s">
        <v>478</v>
      </c>
      <c r="E271" s="114" t="s">
        <v>479</v>
      </c>
      <c r="F271" s="17" t="s">
        <v>67</v>
      </c>
      <c r="G271" s="14" t="s">
        <v>480</v>
      </c>
      <c r="H271" s="18">
        <f t="shared" si="13"/>
        <v>19.833333333333332</v>
      </c>
      <c r="I271" s="117">
        <v>46569</v>
      </c>
      <c r="J271" s="118">
        <v>13</v>
      </c>
      <c r="K271" s="117">
        <v>45974</v>
      </c>
      <c r="L271" s="131"/>
      <c r="M271" s="151" t="s">
        <v>481</v>
      </c>
    </row>
    <row r="272" spans="1:13" ht="33.75" thickBot="1" x14ac:dyDescent="0.3">
      <c r="A272" s="81">
        <v>96</v>
      </c>
      <c r="B272" s="21">
        <v>683</v>
      </c>
      <c r="C272" s="20" t="s">
        <v>271</v>
      </c>
      <c r="D272" s="21" t="s">
        <v>478</v>
      </c>
      <c r="E272" s="115" t="s">
        <v>479</v>
      </c>
      <c r="F272" s="23" t="s">
        <v>67</v>
      </c>
      <c r="G272" s="20" t="s">
        <v>480</v>
      </c>
      <c r="H272" s="24">
        <f t="shared" si="13"/>
        <v>19.833333333333332</v>
      </c>
      <c r="I272" s="119">
        <v>46569</v>
      </c>
      <c r="J272" s="106">
        <v>7</v>
      </c>
      <c r="K272" s="119">
        <v>45974</v>
      </c>
      <c r="L272" s="25"/>
      <c r="M272" s="151" t="s">
        <v>481</v>
      </c>
    </row>
    <row r="273" spans="1:13" ht="15.75" thickBot="1" x14ac:dyDescent="0.3">
      <c r="A273" s="167"/>
      <c r="B273" s="168"/>
      <c r="C273" s="169"/>
      <c r="D273" s="168"/>
      <c r="E273" s="168"/>
      <c r="F273" s="170"/>
      <c r="G273" s="169"/>
      <c r="H273" s="171"/>
      <c r="I273" s="172"/>
      <c r="J273" s="173"/>
      <c r="K273" s="174"/>
      <c r="L273" s="175"/>
      <c r="M273" s="176"/>
    </row>
    <row r="274" spans="1:13" ht="33.75" thickBot="1" x14ac:dyDescent="0.3">
      <c r="A274" s="55">
        <v>97</v>
      </c>
      <c r="B274" s="86">
        <v>684</v>
      </c>
      <c r="C274" s="57" t="s">
        <v>482</v>
      </c>
      <c r="D274" s="58">
        <v>730015</v>
      </c>
      <c r="E274" s="112" t="s">
        <v>31</v>
      </c>
      <c r="F274" s="60" t="s">
        <v>483</v>
      </c>
      <c r="G274" s="57" t="s">
        <v>484</v>
      </c>
      <c r="H274" s="61">
        <f t="shared" si="13"/>
        <v>17.8</v>
      </c>
      <c r="I274" s="89">
        <v>46508</v>
      </c>
      <c r="J274" s="86">
        <v>20</v>
      </c>
      <c r="K274" s="89">
        <v>45974</v>
      </c>
      <c r="L274" s="90"/>
      <c r="M274" s="159" t="s">
        <v>485</v>
      </c>
    </row>
    <row r="275" spans="1:13" ht="15.75" thickBot="1" x14ac:dyDescent="0.3">
      <c r="A275" s="167"/>
      <c r="B275" s="168"/>
      <c r="C275" s="169"/>
      <c r="D275" s="168"/>
      <c r="E275" s="168"/>
      <c r="F275" s="170"/>
      <c r="G275" s="169"/>
      <c r="H275" s="171"/>
      <c r="I275" s="172"/>
      <c r="J275" s="173"/>
      <c r="K275" s="174"/>
      <c r="L275" s="175"/>
      <c r="M275" s="176"/>
    </row>
    <row r="276" spans="1:13" ht="33" x14ac:dyDescent="0.25">
      <c r="A276" s="78">
        <v>98</v>
      </c>
      <c r="B276" s="15">
        <v>685</v>
      </c>
      <c r="C276" s="14" t="s">
        <v>486</v>
      </c>
      <c r="D276" s="15" t="s">
        <v>487</v>
      </c>
      <c r="E276" s="15" t="s">
        <v>31</v>
      </c>
      <c r="F276" s="17" t="s">
        <v>455</v>
      </c>
      <c r="G276" s="14" t="s">
        <v>488</v>
      </c>
      <c r="H276" s="18">
        <f t="shared" si="13"/>
        <v>17.733333333333334</v>
      </c>
      <c r="I276" s="117">
        <v>46447</v>
      </c>
      <c r="J276" s="118">
        <v>17</v>
      </c>
      <c r="K276" s="132">
        <v>45915</v>
      </c>
      <c r="L276" s="131"/>
      <c r="M276" s="151" t="s">
        <v>489</v>
      </c>
    </row>
    <row r="277" spans="1:13" ht="18.75" thickBot="1" x14ac:dyDescent="0.3">
      <c r="A277" s="81">
        <v>98</v>
      </c>
      <c r="B277" s="21">
        <v>685</v>
      </c>
      <c r="C277" s="20" t="s">
        <v>486</v>
      </c>
      <c r="D277" s="21" t="s">
        <v>490</v>
      </c>
      <c r="E277" s="21" t="s">
        <v>31</v>
      </c>
      <c r="F277" s="23" t="s">
        <v>455</v>
      </c>
      <c r="G277" s="20" t="s">
        <v>488</v>
      </c>
      <c r="H277" s="24">
        <f t="shared" si="13"/>
        <v>17.633333333333333</v>
      </c>
      <c r="I277" s="119">
        <v>46508</v>
      </c>
      <c r="J277" s="106">
        <v>3</v>
      </c>
      <c r="K277" s="134">
        <v>45979</v>
      </c>
      <c r="L277" s="25"/>
      <c r="M277" s="152"/>
    </row>
    <row r="278" spans="1:13" ht="15.75" thickBot="1" x14ac:dyDescent="0.3">
      <c r="A278" s="167"/>
      <c r="B278" s="168"/>
      <c r="C278" s="169"/>
      <c r="D278" s="168"/>
      <c r="E278" s="168"/>
      <c r="F278" s="170"/>
      <c r="G278" s="169"/>
      <c r="H278" s="171"/>
      <c r="I278" s="172"/>
      <c r="J278" s="173"/>
      <c r="K278" s="174"/>
      <c r="L278" s="175"/>
      <c r="M278" s="176"/>
    </row>
    <row r="279" spans="1:13" ht="18.75" thickBot="1" x14ac:dyDescent="0.3">
      <c r="A279" s="92">
        <v>99</v>
      </c>
      <c r="B279" s="60">
        <v>686</v>
      </c>
      <c r="C279" s="57" t="s">
        <v>491</v>
      </c>
      <c r="D279" s="58"/>
      <c r="E279" s="116"/>
      <c r="F279" s="60" t="s">
        <v>492</v>
      </c>
      <c r="G279" s="57" t="s">
        <v>418</v>
      </c>
      <c r="H279" s="61">
        <f t="shared" si="13"/>
        <v>0</v>
      </c>
      <c r="I279" s="89"/>
      <c r="J279" s="86">
        <v>0</v>
      </c>
      <c r="K279" s="56"/>
      <c r="L279" s="63"/>
      <c r="M279" s="157"/>
    </row>
    <row r="280" spans="1:13" ht="15.75" thickBot="1" x14ac:dyDescent="0.3">
      <c r="A280" s="167"/>
      <c r="B280" s="168"/>
      <c r="C280" s="169"/>
      <c r="D280" s="168"/>
      <c r="E280" s="168"/>
      <c r="F280" s="170"/>
      <c r="G280" s="169"/>
      <c r="H280" s="171"/>
      <c r="I280" s="172"/>
      <c r="J280" s="173"/>
      <c r="K280" s="174"/>
      <c r="L280" s="175"/>
      <c r="M280" s="176"/>
    </row>
    <row r="281" spans="1:13" x14ac:dyDescent="0.25">
      <c r="L281" s="177"/>
      <c r="M281" s="178"/>
    </row>
    <row r="282" spans="1:13" x14ac:dyDescent="0.25">
      <c r="L282" s="177"/>
      <c r="M282" s="178"/>
    </row>
    <row r="283" spans="1:13" x14ac:dyDescent="0.25">
      <c r="L283" s="177"/>
      <c r="M283" s="178"/>
    </row>
    <row r="284" spans="1:13" x14ac:dyDescent="0.25">
      <c r="L284" s="177"/>
      <c r="M284" s="178"/>
    </row>
    <row r="285" spans="1:13" x14ac:dyDescent="0.25">
      <c r="L285" s="177"/>
      <c r="M285" s="178"/>
    </row>
    <row r="286" spans="1:13" x14ac:dyDescent="0.25">
      <c r="L286" s="177"/>
      <c r="M286" s="178"/>
    </row>
    <row r="287" spans="1:13" x14ac:dyDescent="0.25">
      <c r="L287" s="177"/>
      <c r="M287" s="178"/>
    </row>
    <row r="288" spans="1:13" x14ac:dyDescent="0.25">
      <c r="L288" s="177"/>
      <c r="M288" s="178"/>
    </row>
    <row r="289" spans="12:13" x14ac:dyDescent="0.25">
      <c r="L289" s="177"/>
      <c r="M289" s="178"/>
    </row>
    <row r="290" spans="12:13" x14ac:dyDescent="0.25">
      <c r="L290" s="177"/>
      <c r="M290" s="178"/>
    </row>
    <row r="291" spans="12:13" x14ac:dyDescent="0.25">
      <c r="L291" s="177"/>
      <c r="M291" s="178"/>
    </row>
    <row r="292" spans="12:13" x14ac:dyDescent="0.25">
      <c r="L292" s="177"/>
      <c r="M292" s="178"/>
    </row>
    <row r="293" spans="12:13" x14ac:dyDescent="0.25">
      <c r="L293" s="177"/>
      <c r="M293" s="178"/>
    </row>
    <row r="294" spans="12:13" x14ac:dyDescent="0.25">
      <c r="L294" s="177"/>
      <c r="M294" s="178"/>
    </row>
    <row r="295" spans="12:13" x14ac:dyDescent="0.25">
      <c r="L295" s="177"/>
      <c r="M295" s="178"/>
    </row>
    <row r="296" spans="12:13" x14ac:dyDescent="0.25">
      <c r="L296" s="177"/>
      <c r="M296" s="178"/>
    </row>
    <row r="297" spans="12:13" x14ac:dyDescent="0.25">
      <c r="L297" s="177"/>
      <c r="M297" s="178"/>
    </row>
    <row r="298" spans="12:13" x14ac:dyDescent="0.25">
      <c r="L298" s="177"/>
      <c r="M298" s="178"/>
    </row>
    <row r="299" spans="12:13" x14ac:dyDescent="0.25">
      <c r="L299" s="177"/>
      <c r="M299" s="178"/>
    </row>
    <row r="300" spans="12:13" x14ac:dyDescent="0.25">
      <c r="L300" s="177"/>
      <c r="M300" s="178"/>
    </row>
    <row r="301" spans="12:13" x14ac:dyDescent="0.25">
      <c r="L301" s="177"/>
      <c r="M301" s="178"/>
    </row>
    <row r="302" spans="12:13" x14ac:dyDescent="0.25">
      <c r="L302" s="177"/>
      <c r="M302" s="178"/>
    </row>
    <row r="303" spans="12:13" x14ac:dyDescent="0.25">
      <c r="L303" s="177"/>
      <c r="M303" s="178"/>
    </row>
    <row r="304" spans="12:13" x14ac:dyDescent="0.25">
      <c r="L304" s="177"/>
      <c r="M304" s="178"/>
    </row>
    <row r="305" spans="12:13" x14ac:dyDescent="0.25">
      <c r="L305" s="177"/>
      <c r="M305" s="178"/>
    </row>
    <row r="306" spans="12:13" x14ac:dyDescent="0.25">
      <c r="L306" s="177"/>
      <c r="M306" s="178"/>
    </row>
    <row r="307" spans="12:13" x14ac:dyDescent="0.25">
      <c r="L307" s="177"/>
      <c r="M307" s="178"/>
    </row>
    <row r="308" spans="12:13" x14ac:dyDescent="0.25">
      <c r="L308" s="177"/>
      <c r="M308" s="178"/>
    </row>
    <row r="309" spans="12:13" x14ac:dyDescent="0.25">
      <c r="L309" s="177"/>
      <c r="M309" s="178"/>
    </row>
    <row r="310" spans="12:13" x14ac:dyDescent="0.25">
      <c r="L310" s="177"/>
      <c r="M310" s="178"/>
    </row>
    <row r="311" spans="12:13" x14ac:dyDescent="0.25">
      <c r="L311" s="177"/>
      <c r="M311" s="178"/>
    </row>
    <row r="312" spans="12:13" x14ac:dyDescent="0.25">
      <c r="L312" s="177"/>
      <c r="M312" s="178"/>
    </row>
    <row r="313" spans="12:13" x14ac:dyDescent="0.25">
      <c r="L313" s="177"/>
      <c r="M313" s="178"/>
    </row>
    <row r="314" spans="12:13" x14ac:dyDescent="0.25">
      <c r="L314" s="177"/>
      <c r="M314" s="178"/>
    </row>
    <row r="315" spans="12:13" x14ac:dyDescent="0.25">
      <c r="L315" s="177"/>
      <c r="M315" s="178"/>
    </row>
    <row r="316" spans="12:13" x14ac:dyDescent="0.25">
      <c r="L316" s="177"/>
      <c r="M316" s="178"/>
    </row>
    <row r="317" spans="12:13" x14ac:dyDescent="0.25">
      <c r="L317" s="177"/>
      <c r="M317" s="178"/>
    </row>
    <row r="318" spans="12:13" x14ac:dyDescent="0.25">
      <c r="L318" s="177"/>
      <c r="M318" s="178"/>
    </row>
    <row r="319" spans="12:13" x14ac:dyDescent="0.25">
      <c r="L319" s="177"/>
      <c r="M319" s="178"/>
    </row>
    <row r="320" spans="12:13" x14ac:dyDescent="0.25">
      <c r="L320" s="177"/>
      <c r="M320" s="178"/>
    </row>
    <row r="321" spans="12:13" x14ac:dyDescent="0.25">
      <c r="L321" s="177"/>
      <c r="M321" s="178"/>
    </row>
    <row r="322" spans="12:13" x14ac:dyDescent="0.25">
      <c r="L322" s="177"/>
      <c r="M322" s="178"/>
    </row>
    <row r="323" spans="12:13" x14ac:dyDescent="0.25">
      <c r="L323" s="177"/>
      <c r="M323" s="178"/>
    </row>
    <row r="324" spans="12:13" x14ac:dyDescent="0.25">
      <c r="L324" s="177"/>
      <c r="M324" s="178"/>
    </row>
    <row r="325" spans="12:13" x14ac:dyDescent="0.25">
      <c r="L325" s="177"/>
      <c r="M325" s="178"/>
    </row>
  </sheetData>
  <mergeCells count="2">
    <mergeCell ref="I2:L2"/>
    <mergeCell ref="B4:L4"/>
  </mergeCells>
  <conditionalFormatting sqref="I279 I191 I165 I7:I8 I22 I30 I237 I240 I25 I85 I119 I211 I58 I82 I173 I126 I34 I42 I49 I76 I92 I146 I169 I230 I205 I69 I98 I111 I114 I142 I150 I153 I178 I208 I222 I253 I274 I15 I11 I186 I63 I194 I181 I104 I276 I271 I269 I267 I263 I265 I261 I259 I257 I255 I248 I246 I242 I244 I234 I232 I226 I224 I219 I217 I215 I213 I196:I198 I188 I183 I175 I155 I138 I136 I134 I132 I130 I128 I123 I121 I106 I100 I94 I87 I89 I71 I60 I51 I44 I38 I36 I27 I17:I19">
    <cfRule type="iconSet" priority="350">
      <iconSet showValue="0">
        <cfvo type="percent" val="0"/>
        <cfvo type="formula" val="&quot;HOY()+90&quot;"/>
        <cfvo type="formula" val="&quot;HOY()+180&quot;"/>
      </iconSet>
    </cfRule>
  </conditionalFormatting>
  <conditionalFormatting sqref="H279 H191 H159 H237 H240 H211 H173 H169 H230 H205 H178 H208 H222 H253 H274 H186 H194 H181 H276 H271 H269 H267 H263 H265 H261 H259 H257 H255 H248 H246 H242 H244 H234 H232 H226 H224 H219 H217 H215 H213 H196:H198 H188 H183 H175 H165 H163 H161">
    <cfRule type="iconSet" priority="348">
      <iconSet>
        <cfvo type="percent" val="0"/>
        <cfvo type="formula" val="6"/>
        <cfvo type="formula" val="12"/>
      </iconSet>
    </cfRule>
  </conditionalFormatting>
  <conditionalFormatting sqref="K159 K163">
    <cfRule type="iconSet" priority="346">
      <iconSet>
        <cfvo type="percent" val="0"/>
        <cfvo type="formula" val="hoya()+90"/>
        <cfvo type="formula" val="TODAY()+180"/>
      </iconSet>
    </cfRule>
    <cfRule type="iconSet" priority="347">
      <iconSet showValue="0">
        <cfvo type="percent" val="0"/>
        <cfvo type="formula" val="&quot;HOY()+90&quot;"/>
        <cfvo type="formula" val="&quot;HOY()+180&quot;"/>
      </iconSet>
    </cfRule>
  </conditionalFormatting>
  <conditionalFormatting sqref="H119 H85 H22 H30 H25 H58 H82 H126 H34 H42 H49 H76 H92 H146 H69 H98 H111 H114 H142 H150 H153 H7:H8 H15 H11 H63 H104 H155 H138 H136 H134 H132 H130 H128 H123 H121 H106 H100 H94 H87 H89 H71 H60 H51 H44 H38 H36 H27 H17:H19">
    <cfRule type="iconSet" priority="345">
      <iconSet>
        <cfvo type="percent" val="0"/>
        <cfvo type="formula" val="6"/>
        <cfvo type="formula" val="12"/>
      </iconSet>
    </cfRule>
  </conditionalFormatting>
  <conditionalFormatting sqref="I20">
    <cfRule type="iconSet" priority="344">
      <iconSet showValue="0">
        <cfvo type="percent" val="0"/>
        <cfvo type="formula" val="&quot;HOY()+90&quot;"/>
        <cfvo type="formula" val="&quot;HOY()+180&quot;"/>
      </iconSet>
    </cfRule>
  </conditionalFormatting>
  <conditionalFormatting sqref="H20">
    <cfRule type="iconSet" priority="343">
      <iconSet>
        <cfvo type="percent" val="0"/>
        <cfvo type="formula" val="6"/>
        <cfvo type="formula" val="12"/>
      </iconSet>
    </cfRule>
  </conditionalFormatting>
  <conditionalFormatting sqref="I28">
    <cfRule type="iconSet" priority="342">
      <iconSet showValue="0">
        <cfvo type="percent" val="0"/>
        <cfvo type="formula" val="&quot;HOY()+90&quot;"/>
        <cfvo type="formula" val="&quot;HOY()+180&quot;"/>
      </iconSet>
    </cfRule>
  </conditionalFormatting>
  <conditionalFormatting sqref="H28">
    <cfRule type="iconSet" priority="341">
      <iconSet>
        <cfvo type="percent" val="0"/>
        <cfvo type="formula" val="6"/>
        <cfvo type="formula" val="12"/>
      </iconSet>
    </cfRule>
  </conditionalFormatting>
  <conditionalFormatting sqref="I189">
    <cfRule type="iconSet" priority="340">
      <iconSet showValue="0">
        <cfvo type="percent" val="0"/>
        <cfvo type="formula" val="&quot;HOY()+90&quot;"/>
        <cfvo type="formula" val="&quot;HOY()+180&quot;"/>
      </iconSet>
    </cfRule>
  </conditionalFormatting>
  <conditionalFormatting sqref="H189">
    <cfRule type="iconSet" priority="339">
      <iconSet>
        <cfvo type="percent" val="0"/>
        <cfvo type="formula" val="6"/>
        <cfvo type="formula" val="12"/>
      </iconSet>
    </cfRule>
  </conditionalFormatting>
  <conditionalFormatting sqref="I235">
    <cfRule type="iconSet" priority="338">
      <iconSet showValue="0">
        <cfvo type="percent" val="0"/>
        <cfvo type="formula" val="&quot;HOY()+90&quot;"/>
        <cfvo type="formula" val="&quot;HOY()+180&quot;"/>
      </iconSet>
    </cfRule>
  </conditionalFormatting>
  <conditionalFormatting sqref="H235">
    <cfRule type="iconSet" priority="337">
      <iconSet>
        <cfvo type="percent" val="0"/>
        <cfvo type="formula" val="6"/>
        <cfvo type="formula" val="12"/>
      </iconSet>
    </cfRule>
  </conditionalFormatting>
  <conditionalFormatting sqref="I238">
    <cfRule type="iconSet" priority="336">
      <iconSet showValue="0">
        <cfvo type="percent" val="0"/>
        <cfvo type="formula" val="&quot;HOY()+90&quot;"/>
        <cfvo type="formula" val="&quot;HOY()+180&quot;"/>
      </iconSet>
    </cfRule>
  </conditionalFormatting>
  <conditionalFormatting sqref="H238">
    <cfRule type="iconSet" priority="335">
      <iconSet>
        <cfvo type="percent" val="0"/>
        <cfvo type="formula" val="6"/>
        <cfvo type="formula" val="12"/>
      </iconSet>
    </cfRule>
  </conditionalFormatting>
  <conditionalFormatting sqref="I23">
    <cfRule type="iconSet" priority="334">
      <iconSet showValue="0">
        <cfvo type="percent" val="0"/>
        <cfvo type="formula" val="&quot;HOY()+90&quot;"/>
        <cfvo type="formula" val="&quot;HOY()+180&quot;"/>
      </iconSet>
    </cfRule>
  </conditionalFormatting>
  <conditionalFormatting sqref="H23">
    <cfRule type="iconSet" priority="333">
      <iconSet>
        <cfvo type="percent" val="0"/>
        <cfvo type="formula" val="6"/>
        <cfvo type="formula" val="12"/>
      </iconSet>
    </cfRule>
  </conditionalFormatting>
  <conditionalFormatting sqref="I83">
    <cfRule type="iconSet" priority="332">
      <iconSet showValue="0">
        <cfvo type="percent" val="0"/>
        <cfvo type="formula" val="&quot;HOY()+90&quot;"/>
        <cfvo type="formula" val="&quot;HOY()+180&quot;"/>
      </iconSet>
    </cfRule>
  </conditionalFormatting>
  <conditionalFormatting sqref="H83">
    <cfRule type="iconSet" priority="331">
      <iconSet>
        <cfvo type="percent" val="0"/>
        <cfvo type="formula" val="6"/>
        <cfvo type="formula" val="12"/>
      </iconSet>
    </cfRule>
  </conditionalFormatting>
  <conditionalFormatting sqref="I115">
    <cfRule type="iconSet" priority="330">
      <iconSet showValue="0">
        <cfvo type="percent" val="0"/>
        <cfvo type="formula" val="&quot;HOY()+90&quot;"/>
        <cfvo type="formula" val="&quot;HOY()+180&quot;"/>
      </iconSet>
    </cfRule>
  </conditionalFormatting>
  <conditionalFormatting sqref="H115">
    <cfRule type="iconSet" priority="329">
      <iconSet>
        <cfvo type="percent" val="0"/>
        <cfvo type="formula" val="6"/>
        <cfvo type="formula" val="12"/>
      </iconSet>
    </cfRule>
  </conditionalFormatting>
  <conditionalFormatting sqref="I209">
    <cfRule type="iconSet" priority="328">
      <iconSet showValue="0">
        <cfvo type="percent" val="0"/>
        <cfvo type="formula" val="&quot;HOY()+90&quot;"/>
        <cfvo type="formula" val="&quot;HOY()+180&quot;"/>
      </iconSet>
    </cfRule>
  </conditionalFormatting>
  <conditionalFormatting sqref="H209">
    <cfRule type="iconSet" priority="327">
      <iconSet>
        <cfvo type="percent" val="0"/>
        <cfvo type="formula" val="6"/>
        <cfvo type="formula" val="12"/>
      </iconSet>
    </cfRule>
  </conditionalFormatting>
  <conditionalFormatting sqref="I56">
    <cfRule type="iconSet" priority="326">
      <iconSet showValue="0">
        <cfvo type="percent" val="0"/>
        <cfvo type="formula" val="&quot;HOY()+90&quot;"/>
        <cfvo type="formula" val="&quot;HOY()+180&quot;"/>
      </iconSet>
    </cfRule>
  </conditionalFormatting>
  <conditionalFormatting sqref="H56">
    <cfRule type="iconSet" priority="325">
      <iconSet>
        <cfvo type="percent" val="0"/>
        <cfvo type="formula" val="6"/>
        <cfvo type="formula" val="12"/>
      </iconSet>
    </cfRule>
  </conditionalFormatting>
  <conditionalFormatting sqref="I55">
    <cfRule type="iconSet" priority="324">
      <iconSet showValue="0">
        <cfvo type="percent" val="0"/>
        <cfvo type="formula" val="&quot;HOY()+90&quot;"/>
        <cfvo type="formula" val="&quot;HOY()+180&quot;"/>
      </iconSet>
    </cfRule>
  </conditionalFormatting>
  <conditionalFormatting sqref="H55">
    <cfRule type="iconSet" priority="323">
      <iconSet>
        <cfvo type="percent" val="0"/>
        <cfvo type="formula" val="6"/>
        <cfvo type="formula" val="12"/>
      </iconSet>
    </cfRule>
  </conditionalFormatting>
  <conditionalFormatting sqref="I80:I81">
    <cfRule type="iconSet" priority="322">
      <iconSet showValue="0">
        <cfvo type="percent" val="0"/>
        <cfvo type="formula" val="&quot;HOY()+90&quot;"/>
        <cfvo type="formula" val="&quot;HOY()+180&quot;"/>
      </iconSet>
    </cfRule>
  </conditionalFormatting>
  <conditionalFormatting sqref="H80:H81">
    <cfRule type="iconSet" priority="321">
      <iconSet>
        <cfvo type="percent" val="0"/>
        <cfvo type="formula" val="6"/>
        <cfvo type="formula" val="12"/>
      </iconSet>
    </cfRule>
  </conditionalFormatting>
  <conditionalFormatting sqref="I79">
    <cfRule type="iconSet" priority="320">
      <iconSet showValue="0">
        <cfvo type="percent" val="0"/>
        <cfvo type="formula" val="&quot;HOY()+90&quot;"/>
        <cfvo type="formula" val="&quot;HOY()+180&quot;"/>
      </iconSet>
    </cfRule>
  </conditionalFormatting>
  <conditionalFormatting sqref="H79">
    <cfRule type="iconSet" priority="319">
      <iconSet>
        <cfvo type="percent" val="0"/>
        <cfvo type="formula" val="6"/>
        <cfvo type="formula" val="12"/>
      </iconSet>
    </cfRule>
  </conditionalFormatting>
  <conditionalFormatting sqref="I78">
    <cfRule type="iconSet" priority="318">
      <iconSet showValue="0">
        <cfvo type="percent" val="0"/>
        <cfvo type="formula" val="&quot;HOY()+90&quot;"/>
        <cfvo type="formula" val="&quot;HOY()+180&quot;"/>
      </iconSet>
    </cfRule>
  </conditionalFormatting>
  <conditionalFormatting sqref="H78">
    <cfRule type="iconSet" priority="317">
      <iconSet>
        <cfvo type="percent" val="0"/>
        <cfvo type="formula" val="6"/>
        <cfvo type="formula" val="12"/>
      </iconSet>
    </cfRule>
  </conditionalFormatting>
  <conditionalFormatting sqref="I170">
    <cfRule type="iconSet" priority="316">
      <iconSet showValue="0">
        <cfvo type="percent" val="0"/>
        <cfvo type="formula" val="&quot;HOY()+90&quot;"/>
        <cfvo type="formula" val="&quot;HOY()+180&quot;"/>
      </iconSet>
    </cfRule>
  </conditionalFormatting>
  <conditionalFormatting sqref="H170">
    <cfRule type="iconSet" priority="315">
      <iconSet>
        <cfvo type="percent" val="0"/>
        <cfvo type="formula" val="6"/>
        <cfvo type="formula" val="12"/>
      </iconSet>
    </cfRule>
  </conditionalFormatting>
  <conditionalFormatting sqref="I124">
    <cfRule type="iconSet" priority="314">
      <iconSet showValue="0">
        <cfvo type="percent" val="0"/>
        <cfvo type="formula" val="&quot;HOY()+90&quot;"/>
        <cfvo type="formula" val="&quot;HOY()+180&quot;"/>
      </iconSet>
    </cfRule>
  </conditionalFormatting>
  <conditionalFormatting sqref="H124">
    <cfRule type="iconSet" priority="313">
      <iconSet>
        <cfvo type="percent" val="0"/>
        <cfvo type="formula" val="6"/>
        <cfvo type="formula" val="12"/>
      </iconSet>
    </cfRule>
  </conditionalFormatting>
  <conditionalFormatting sqref="I32">
    <cfRule type="iconSet" priority="312">
      <iconSet showValue="0">
        <cfvo type="percent" val="0"/>
        <cfvo type="formula" val="&quot;HOY()+90&quot;"/>
        <cfvo type="formula" val="&quot;HOY()+180&quot;"/>
      </iconSet>
    </cfRule>
  </conditionalFormatting>
  <conditionalFormatting sqref="H32">
    <cfRule type="iconSet" priority="311">
      <iconSet>
        <cfvo type="percent" val="0"/>
        <cfvo type="formula" val="6"/>
        <cfvo type="formula" val="12"/>
      </iconSet>
    </cfRule>
  </conditionalFormatting>
  <conditionalFormatting sqref="I41">
    <cfRule type="iconSet" priority="310">
      <iconSet showValue="0">
        <cfvo type="percent" val="0"/>
        <cfvo type="formula" val="&quot;HOY()+90&quot;"/>
        <cfvo type="formula" val="&quot;HOY()+180&quot;"/>
      </iconSet>
    </cfRule>
  </conditionalFormatting>
  <conditionalFormatting sqref="H41">
    <cfRule type="iconSet" priority="309">
      <iconSet>
        <cfvo type="percent" val="0"/>
        <cfvo type="formula" val="6"/>
        <cfvo type="formula" val="12"/>
      </iconSet>
    </cfRule>
  </conditionalFormatting>
  <conditionalFormatting sqref="I40">
    <cfRule type="iconSet" priority="308">
      <iconSet showValue="0">
        <cfvo type="percent" val="0"/>
        <cfvo type="formula" val="&quot;HOY()+90&quot;"/>
        <cfvo type="formula" val="&quot;HOY()+180&quot;"/>
      </iconSet>
    </cfRule>
  </conditionalFormatting>
  <conditionalFormatting sqref="H40">
    <cfRule type="iconSet" priority="307">
      <iconSet>
        <cfvo type="percent" val="0"/>
        <cfvo type="formula" val="6"/>
        <cfvo type="formula" val="12"/>
      </iconSet>
    </cfRule>
  </conditionalFormatting>
  <conditionalFormatting sqref="I47">
    <cfRule type="iconSet" priority="306">
      <iconSet showValue="0">
        <cfvo type="percent" val="0"/>
        <cfvo type="formula" val="&quot;HOY()+90&quot;"/>
        <cfvo type="formula" val="&quot;HOY()+180&quot;"/>
      </iconSet>
    </cfRule>
  </conditionalFormatting>
  <conditionalFormatting sqref="H47">
    <cfRule type="iconSet" priority="305">
      <iconSet>
        <cfvo type="percent" val="0"/>
        <cfvo type="formula" val="6"/>
        <cfvo type="formula" val="12"/>
      </iconSet>
    </cfRule>
  </conditionalFormatting>
  <conditionalFormatting sqref="I46">
    <cfRule type="iconSet" priority="304">
      <iconSet showValue="0">
        <cfvo type="percent" val="0"/>
        <cfvo type="formula" val="&quot;HOY()+90&quot;"/>
        <cfvo type="formula" val="&quot;HOY()+180&quot;"/>
      </iconSet>
    </cfRule>
  </conditionalFormatting>
  <conditionalFormatting sqref="H46">
    <cfRule type="iconSet" priority="303">
      <iconSet>
        <cfvo type="percent" val="0"/>
        <cfvo type="formula" val="6"/>
        <cfvo type="formula" val="12"/>
      </iconSet>
    </cfRule>
  </conditionalFormatting>
  <conditionalFormatting sqref="I74">
    <cfRule type="iconSet" priority="302">
      <iconSet showValue="0">
        <cfvo type="percent" val="0"/>
        <cfvo type="formula" val="&quot;HOY()+90&quot;"/>
        <cfvo type="formula" val="&quot;HOY()+180&quot;"/>
      </iconSet>
    </cfRule>
  </conditionalFormatting>
  <conditionalFormatting sqref="H74">
    <cfRule type="iconSet" priority="301">
      <iconSet>
        <cfvo type="percent" val="0"/>
        <cfvo type="formula" val="6"/>
        <cfvo type="formula" val="12"/>
      </iconSet>
    </cfRule>
  </conditionalFormatting>
  <conditionalFormatting sqref="I73">
    <cfRule type="iconSet" priority="300">
      <iconSet showValue="0">
        <cfvo type="percent" val="0"/>
        <cfvo type="formula" val="&quot;HOY()+90&quot;"/>
        <cfvo type="formula" val="&quot;HOY()+180&quot;"/>
      </iconSet>
    </cfRule>
  </conditionalFormatting>
  <conditionalFormatting sqref="H73">
    <cfRule type="iconSet" priority="299">
      <iconSet>
        <cfvo type="percent" val="0"/>
        <cfvo type="formula" val="6"/>
        <cfvo type="formula" val="12"/>
      </iconSet>
    </cfRule>
  </conditionalFormatting>
  <conditionalFormatting sqref="I91">
    <cfRule type="iconSet" priority="298">
      <iconSet showValue="0">
        <cfvo type="percent" val="0"/>
        <cfvo type="formula" val="&quot;HOY()+90&quot;"/>
        <cfvo type="formula" val="&quot;HOY()+180&quot;"/>
      </iconSet>
    </cfRule>
  </conditionalFormatting>
  <conditionalFormatting sqref="H91">
    <cfRule type="iconSet" priority="297">
      <iconSet>
        <cfvo type="percent" val="0"/>
        <cfvo type="formula" val="6"/>
        <cfvo type="formula" val="12"/>
      </iconSet>
    </cfRule>
  </conditionalFormatting>
  <conditionalFormatting sqref="I117">
    <cfRule type="iconSet" priority="296">
      <iconSet showValue="0">
        <cfvo type="percent" val="0"/>
        <cfvo type="formula" val="&quot;HOY()+90&quot;"/>
        <cfvo type="formula" val="&quot;HOY()+180&quot;"/>
      </iconSet>
    </cfRule>
  </conditionalFormatting>
  <conditionalFormatting sqref="H117">
    <cfRule type="iconSet" priority="295">
      <iconSet>
        <cfvo type="percent" val="0"/>
        <cfvo type="formula" val="6"/>
        <cfvo type="formula" val="12"/>
      </iconSet>
    </cfRule>
  </conditionalFormatting>
  <conditionalFormatting sqref="I118">
    <cfRule type="iconSet" priority="294">
      <iconSet showValue="0">
        <cfvo type="percent" val="0"/>
        <cfvo type="formula" val="&quot;HOY()+90&quot;"/>
        <cfvo type="formula" val="&quot;HOY()+180&quot;"/>
      </iconSet>
    </cfRule>
  </conditionalFormatting>
  <conditionalFormatting sqref="H118">
    <cfRule type="iconSet" priority="293">
      <iconSet>
        <cfvo type="percent" val="0"/>
        <cfvo type="formula" val="6"/>
        <cfvo type="formula" val="12"/>
      </iconSet>
    </cfRule>
  </conditionalFormatting>
  <conditionalFormatting sqref="I144">
    <cfRule type="iconSet" priority="292">
      <iconSet showValue="0">
        <cfvo type="percent" val="0"/>
        <cfvo type="formula" val="&quot;HOY()+90&quot;"/>
        <cfvo type="formula" val="&quot;HOY()+180&quot;"/>
      </iconSet>
    </cfRule>
  </conditionalFormatting>
  <conditionalFormatting sqref="H144">
    <cfRule type="iconSet" priority="291">
      <iconSet>
        <cfvo type="percent" val="0"/>
        <cfvo type="formula" val="6"/>
        <cfvo type="formula" val="12"/>
      </iconSet>
    </cfRule>
  </conditionalFormatting>
  <conditionalFormatting sqref="I167">
    <cfRule type="iconSet" priority="290">
      <iconSet showValue="0">
        <cfvo type="percent" val="0"/>
        <cfvo type="formula" val="&quot;HOY()+90&quot;"/>
        <cfvo type="formula" val="&quot;HOY()+180&quot;"/>
      </iconSet>
    </cfRule>
  </conditionalFormatting>
  <conditionalFormatting sqref="H167">
    <cfRule type="iconSet" priority="289">
      <iconSet>
        <cfvo type="percent" val="0"/>
        <cfvo type="formula" val="6"/>
        <cfvo type="formula" val="12"/>
      </iconSet>
    </cfRule>
  </conditionalFormatting>
  <conditionalFormatting sqref="I166">
    <cfRule type="iconSet" priority="288">
      <iconSet showValue="0">
        <cfvo type="percent" val="0"/>
        <cfvo type="formula" val="&quot;HOY()+90&quot;"/>
        <cfvo type="formula" val="&quot;HOY()+180&quot;"/>
      </iconSet>
    </cfRule>
  </conditionalFormatting>
  <conditionalFormatting sqref="H166">
    <cfRule type="iconSet" priority="287">
      <iconSet>
        <cfvo type="percent" val="0"/>
        <cfvo type="formula" val="6"/>
        <cfvo type="formula" val="12"/>
      </iconSet>
    </cfRule>
  </conditionalFormatting>
  <conditionalFormatting sqref="I229">
    <cfRule type="iconSet" priority="286">
      <iconSet showValue="0">
        <cfvo type="percent" val="0"/>
        <cfvo type="formula" val="&quot;HOY()+90&quot;"/>
        <cfvo type="formula" val="&quot;HOY()+180&quot;"/>
      </iconSet>
    </cfRule>
  </conditionalFormatting>
  <conditionalFormatting sqref="H229">
    <cfRule type="iconSet" priority="285">
      <iconSet>
        <cfvo type="percent" val="0"/>
        <cfvo type="formula" val="6"/>
        <cfvo type="formula" val="12"/>
      </iconSet>
    </cfRule>
  </conditionalFormatting>
  <conditionalFormatting sqref="I277:I278">
    <cfRule type="iconSet" priority="284">
      <iconSet showValue="0">
        <cfvo type="percent" val="0"/>
        <cfvo type="formula" val="&quot;HOY()+90&quot;"/>
        <cfvo type="formula" val="&quot;HOY()+180&quot;"/>
      </iconSet>
    </cfRule>
  </conditionalFormatting>
  <conditionalFormatting sqref="H277:H278">
    <cfRule type="iconSet" priority="283">
      <iconSet>
        <cfvo type="percent" val="0"/>
        <cfvo type="formula" val="6"/>
        <cfvo type="formula" val="12"/>
      </iconSet>
    </cfRule>
  </conditionalFormatting>
  <conditionalFormatting sqref="I203">
    <cfRule type="iconSet" priority="282">
      <iconSet showValue="0">
        <cfvo type="percent" val="0"/>
        <cfvo type="formula" val="&quot;HOY()+90&quot;"/>
        <cfvo type="formula" val="&quot;HOY()+180&quot;"/>
      </iconSet>
    </cfRule>
  </conditionalFormatting>
  <conditionalFormatting sqref="H203">
    <cfRule type="iconSet" priority="281">
      <iconSet>
        <cfvo type="percent" val="0"/>
        <cfvo type="formula" val="6"/>
        <cfvo type="formula" val="12"/>
      </iconSet>
    </cfRule>
  </conditionalFormatting>
  <conditionalFormatting sqref="I199">
    <cfRule type="iconSet" priority="280">
      <iconSet showValue="0">
        <cfvo type="percent" val="0"/>
        <cfvo type="formula" val="&quot;HOY()+90&quot;"/>
        <cfvo type="formula" val="&quot;HOY()+180&quot;"/>
      </iconSet>
    </cfRule>
  </conditionalFormatting>
  <conditionalFormatting sqref="H199">
    <cfRule type="iconSet" priority="279">
      <iconSet>
        <cfvo type="percent" val="0"/>
        <cfvo type="formula" val="6"/>
        <cfvo type="formula" val="12"/>
      </iconSet>
    </cfRule>
  </conditionalFormatting>
  <conditionalFormatting sqref="I202">
    <cfRule type="iconSet" priority="278">
      <iconSet showValue="0">
        <cfvo type="percent" val="0"/>
        <cfvo type="formula" val="&quot;HOY()+90&quot;"/>
        <cfvo type="formula" val="&quot;HOY()+180&quot;"/>
      </iconSet>
    </cfRule>
  </conditionalFormatting>
  <conditionalFormatting sqref="H202">
    <cfRule type="iconSet" priority="277">
      <iconSet>
        <cfvo type="percent" val="0"/>
        <cfvo type="formula" val="6"/>
        <cfvo type="formula" val="12"/>
      </iconSet>
    </cfRule>
  </conditionalFormatting>
  <conditionalFormatting sqref="I201">
    <cfRule type="iconSet" priority="276">
      <iconSet showValue="0">
        <cfvo type="percent" val="0"/>
        <cfvo type="formula" val="&quot;HOY()+90&quot;"/>
        <cfvo type="formula" val="&quot;HOY()+180&quot;"/>
      </iconSet>
    </cfRule>
  </conditionalFormatting>
  <conditionalFormatting sqref="H201">
    <cfRule type="iconSet" priority="275">
      <iconSet>
        <cfvo type="percent" val="0"/>
        <cfvo type="formula" val="6"/>
        <cfvo type="formula" val="12"/>
      </iconSet>
    </cfRule>
  </conditionalFormatting>
  <conditionalFormatting sqref="I200">
    <cfRule type="iconSet" priority="274">
      <iconSet showValue="0">
        <cfvo type="percent" val="0"/>
        <cfvo type="formula" val="&quot;HOY()+90&quot;"/>
        <cfvo type="formula" val="&quot;HOY()+180&quot;"/>
      </iconSet>
    </cfRule>
  </conditionalFormatting>
  <conditionalFormatting sqref="H200">
    <cfRule type="iconSet" priority="273">
      <iconSet>
        <cfvo type="percent" val="0"/>
        <cfvo type="formula" val="6"/>
        <cfvo type="formula" val="12"/>
      </iconSet>
    </cfRule>
  </conditionalFormatting>
  <conditionalFormatting sqref="H158">
    <cfRule type="iconSet" priority="272">
      <iconSet>
        <cfvo type="percent" val="0"/>
        <cfvo type="formula" val="6"/>
        <cfvo type="formula" val="12"/>
      </iconSet>
    </cfRule>
  </conditionalFormatting>
  <conditionalFormatting sqref="K158">
    <cfRule type="iconSet" priority="270">
      <iconSet>
        <cfvo type="percent" val="0"/>
        <cfvo type="formula" val="hoya()+90"/>
        <cfvo type="formula" val="TODAY()+180"/>
      </iconSet>
    </cfRule>
    <cfRule type="iconSet" priority="271">
      <iconSet showValue="0">
        <cfvo type="percent" val="0"/>
        <cfvo type="formula" val="&quot;HOY()+90&quot;"/>
        <cfvo type="formula" val="&quot;HOY()+180&quot;"/>
      </iconSet>
    </cfRule>
  </conditionalFormatting>
  <conditionalFormatting sqref="H157">
    <cfRule type="iconSet" priority="269">
      <iconSet>
        <cfvo type="percent" val="0"/>
        <cfvo type="formula" val="6"/>
        <cfvo type="formula" val="12"/>
      </iconSet>
    </cfRule>
  </conditionalFormatting>
  <conditionalFormatting sqref="K157">
    <cfRule type="iconSet" priority="267">
      <iconSet>
        <cfvo type="percent" val="0"/>
        <cfvo type="formula" val="hoya()+90"/>
        <cfvo type="formula" val="TODAY()+180"/>
      </iconSet>
    </cfRule>
    <cfRule type="iconSet" priority="268">
      <iconSet showValue="0">
        <cfvo type="percent" val="0"/>
        <cfvo type="formula" val="&quot;HOY()+90&quot;"/>
        <cfvo type="formula" val="&quot;HOY()+180&quot;"/>
      </iconSet>
    </cfRule>
  </conditionalFormatting>
  <conditionalFormatting sqref="I31">
    <cfRule type="iconSet" priority="266">
      <iconSet showValue="0">
        <cfvo type="percent" val="0"/>
        <cfvo type="formula" val="&quot;HOY()+90&quot;"/>
        <cfvo type="formula" val="&quot;HOY()+180&quot;"/>
      </iconSet>
    </cfRule>
  </conditionalFormatting>
  <conditionalFormatting sqref="H31">
    <cfRule type="iconSet" priority="265">
      <iconSet>
        <cfvo type="percent" val="0"/>
        <cfvo type="formula" val="6"/>
        <cfvo type="formula" val="12"/>
      </iconSet>
    </cfRule>
  </conditionalFormatting>
  <conditionalFormatting sqref="I54">
    <cfRule type="iconSet" priority="264">
      <iconSet showValue="0">
        <cfvo type="percent" val="0"/>
        <cfvo type="formula" val="&quot;HOY()+90&quot;"/>
        <cfvo type="formula" val="&quot;HOY()+180&quot;"/>
      </iconSet>
    </cfRule>
  </conditionalFormatting>
  <conditionalFormatting sqref="H54">
    <cfRule type="iconSet" priority="263">
      <iconSet>
        <cfvo type="percent" val="0"/>
        <cfvo type="formula" val="6"/>
        <cfvo type="formula" val="12"/>
      </iconSet>
    </cfRule>
  </conditionalFormatting>
  <conditionalFormatting sqref="I52">
    <cfRule type="iconSet" priority="351">
      <iconSet showValue="0">
        <cfvo type="percent" val="0"/>
        <cfvo type="formula" val="&quot;HOY()+90&quot;"/>
        <cfvo type="formula" val="&quot;HOY()+180&quot;"/>
      </iconSet>
    </cfRule>
  </conditionalFormatting>
  <conditionalFormatting sqref="H52">
    <cfRule type="iconSet" priority="352">
      <iconSet>
        <cfvo type="percent" val="0"/>
        <cfvo type="formula" val="6"/>
        <cfvo type="formula" val="12"/>
      </iconSet>
    </cfRule>
  </conditionalFormatting>
  <conditionalFormatting sqref="I53">
    <cfRule type="iconSet" priority="353">
      <iconSet showValue="0">
        <cfvo type="percent" val="0"/>
        <cfvo type="formula" val="&quot;HOY()+90&quot;"/>
        <cfvo type="formula" val="&quot;HOY()+180&quot;"/>
      </iconSet>
    </cfRule>
  </conditionalFormatting>
  <conditionalFormatting sqref="H53">
    <cfRule type="iconSet" priority="354">
      <iconSet>
        <cfvo type="percent" val="0"/>
        <cfvo type="formula" val="6"/>
        <cfvo type="formula" val="12"/>
      </iconSet>
    </cfRule>
  </conditionalFormatting>
  <conditionalFormatting sqref="I64">
    <cfRule type="iconSet" priority="262">
      <iconSet showValue="0">
        <cfvo type="percent" val="0"/>
        <cfvo type="formula" val="&quot;HOY()+90&quot;"/>
        <cfvo type="formula" val="&quot;HOY()+180&quot;"/>
      </iconSet>
    </cfRule>
  </conditionalFormatting>
  <conditionalFormatting sqref="H64">
    <cfRule type="iconSet" priority="261">
      <iconSet>
        <cfvo type="percent" val="0"/>
        <cfvo type="formula" val="6"/>
        <cfvo type="formula" val="12"/>
      </iconSet>
    </cfRule>
  </conditionalFormatting>
  <conditionalFormatting sqref="I67">
    <cfRule type="iconSet" priority="260">
      <iconSet showValue="0">
        <cfvo type="percent" val="0"/>
        <cfvo type="formula" val="&quot;HOY()+90&quot;"/>
        <cfvo type="formula" val="&quot;HOY()+180&quot;"/>
      </iconSet>
    </cfRule>
  </conditionalFormatting>
  <conditionalFormatting sqref="H67">
    <cfRule type="iconSet" priority="259">
      <iconSet>
        <cfvo type="percent" val="0"/>
        <cfvo type="formula" val="6"/>
        <cfvo type="formula" val="12"/>
      </iconSet>
    </cfRule>
  </conditionalFormatting>
  <conditionalFormatting sqref="I95">
    <cfRule type="iconSet" priority="258">
      <iconSet showValue="0">
        <cfvo type="percent" val="0"/>
        <cfvo type="formula" val="&quot;HOY()+90&quot;"/>
        <cfvo type="formula" val="&quot;HOY()+180&quot;"/>
      </iconSet>
    </cfRule>
  </conditionalFormatting>
  <conditionalFormatting sqref="H95">
    <cfRule type="iconSet" priority="257">
      <iconSet>
        <cfvo type="percent" val="0"/>
        <cfvo type="formula" val="6"/>
        <cfvo type="formula" val="12"/>
      </iconSet>
    </cfRule>
  </conditionalFormatting>
  <conditionalFormatting sqref="I96">
    <cfRule type="iconSet" priority="256">
      <iconSet showValue="0">
        <cfvo type="percent" val="0"/>
        <cfvo type="formula" val="&quot;HOY()+90&quot;"/>
        <cfvo type="formula" val="&quot;HOY()+180&quot;"/>
      </iconSet>
    </cfRule>
  </conditionalFormatting>
  <conditionalFormatting sqref="H96">
    <cfRule type="iconSet" priority="255">
      <iconSet>
        <cfvo type="percent" val="0"/>
        <cfvo type="formula" val="6"/>
        <cfvo type="formula" val="12"/>
      </iconSet>
    </cfRule>
  </conditionalFormatting>
  <conditionalFormatting sqref="I108">
    <cfRule type="iconSet" priority="254">
      <iconSet showValue="0">
        <cfvo type="percent" val="0"/>
        <cfvo type="formula" val="&quot;HOY()+90&quot;"/>
        <cfvo type="formula" val="&quot;HOY()+180&quot;"/>
      </iconSet>
    </cfRule>
  </conditionalFormatting>
  <conditionalFormatting sqref="H108">
    <cfRule type="iconSet" priority="253">
      <iconSet>
        <cfvo type="percent" val="0"/>
        <cfvo type="formula" val="6"/>
        <cfvo type="formula" val="12"/>
      </iconSet>
    </cfRule>
  </conditionalFormatting>
  <conditionalFormatting sqref="I107">
    <cfRule type="iconSet" priority="252">
      <iconSet showValue="0">
        <cfvo type="percent" val="0"/>
        <cfvo type="formula" val="&quot;HOY()+90&quot;"/>
        <cfvo type="formula" val="&quot;HOY()+180&quot;"/>
      </iconSet>
    </cfRule>
  </conditionalFormatting>
  <conditionalFormatting sqref="H107">
    <cfRule type="iconSet" priority="251">
      <iconSet>
        <cfvo type="percent" val="0"/>
        <cfvo type="formula" val="6"/>
        <cfvo type="formula" val="12"/>
      </iconSet>
    </cfRule>
  </conditionalFormatting>
  <conditionalFormatting sqref="I109">
    <cfRule type="iconSet" priority="250">
      <iconSet showValue="0">
        <cfvo type="percent" val="0"/>
        <cfvo type="formula" val="&quot;HOY()+90&quot;"/>
        <cfvo type="formula" val="&quot;HOY()+180&quot;"/>
      </iconSet>
    </cfRule>
  </conditionalFormatting>
  <conditionalFormatting sqref="H109">
    <cfRule type="iconSet" priority="249">
      <iconSet>
        <cfvo type="percent" val="0"/>
        <cfvo type="formula" val="6"/>
        <cfvo type="formula" val="12"/>
      </iconSet>
    </cfRule>
  </conditionalFormatting>
  <conditionalFormatting sqref="I112">
    <cfRule type="iconSet" priority="248">
      <iconSet showValue="0">
        <cfvo type="percent" val="0"/>
        <cfvo type="formula" val="&quot;HOY()+90&quot;"/>
        <cfvo type="formula" val="&quot;HOY()+180&quot;"/>
      </iconSet>
    </cfRule>
  </conditionalFormatting>
  <conditionalFormatting sqref="H112">
    <cfRule type="iconSet" priority="247">
      <iconSet>
        <cfvo type="percent" val="0"/>
        <cfvo type="formula" val="6"/>
        <cfvo type="formula" val="12"/>
      </iconSet>
    </cfRule>
  </conditionalFormatting>
  <conditionalFormatting sqref="I140">
    <cfRule type="iconSet" priority="246">
      <iconSet showValue="0">
        <cfvo type="percent" val="0"/>
        <cfvo type="formula" val="&quot;HOY()+90&quot;"/>
        <cfvo type="formula" val="&quot;HOY()+180&quot;"/>
      </iconSet>
    </cfRule>
  </conditionalFormatting>
  <conditionalFormatting sqref="H140">
    <cfRule type="iconSet" priority="245">
      <iconSet>
        <cfvo type="percent" val="0"/>
        <cfvo type="formula" val="6"/>
        <cfvo type="formula" val="12"/>
      </iconSet>
    </cfRule>
  </conditionalFormatting>
  <conditionalFormatting sqref="I139">
    <cfRule type="iconSet" priority="244">
      <iconSet showValue="0">
        <cfvo type="percent" val="0"/>
        <cfvo type="formula" val="&quot;HOY()+90&quot;"/>
        <cfvo type="formula" val="&quot;HOY()+180&quot;"/>
      </iconSet>
    </cfRule>
  </conditionalFormatting>
  <conditionalFormatting sqref="H139">
    <cfRule type="iconSet" priority="243">
      <iconSet>
        <cfvo type="percent" val="0"/>
        <cfvo type="formula" val="6"/>
        <cfvo type="formula" val="12"/>
      </iconSet>
    </cfRule>
  </conditionalFormatting>
  <conditionalFormatting sqref="I147">
    <cfRule type="iconSet" priority="242">
      <iconSet showValue="0">
        <cfvo type="percent" val="0"/>
        <cfvo type="formula" val="&quot;HOY()+90&quot;"/>
        <cfvo type="formula" val="&quot;HOY()+180&quot;"/>
      </iconSet>
    </cfRule>
  </conditionalFormatting>
  <conditionalFormatting sqref="H147">
    <cfRule type="iconSet" priority="241">
      <iconSet>
        <cfvo type="percent" val="0"/>
        <cfvo type="formula" val="6"/>
        <cfvo type="formula" val="12"/>
      </iconSet>
    </cfRule>
  </conditionalFormatting>
  <conditionalFormatting sqref="I151">
    <cfRule type="iconSet" priority="240">
      <iconSet showValue="0">
        <cfvo type="percent" val="0"/>
        <cfvo type="formula" val="&quot;HOY()+90&quot;"/>
        <cfvo type="formula" val="&quot;HOY()+180&quot;"/>
      </iconSet>
    </cfRule>
  </conditionalFormatting>
  <conditionalFormatting sqref="H151">
    <cfRule type="iconSet" priority="239">
      <iconSet>
        <cfvo type="percent" val="0"/>
        <cfvo type="formula" val="6"/>
        <cfvo type="formula" val="12"/>
      </iconSet>
    </cfRule>
  </conditionalFormatting>
  <conditionalFormatting sqref="I157:I159 I161">
    <cfRule type="iconSet" priority="238">
      <iconSet showValue="0">
        <cfvo type="percent" val="0"/>
        <cfvo type="formula" val="&quot;HOY()+90&quot;"/>
        <cfvo type="formula" val="&quot;HOY()+180&quot;"/>
      </iconSet>
    </cfRule>
  </conditionalFormatting>
  <conditionalFormatting sqref="I163">
    <cfRule type="iconSet" priority="237">
      <iconSet showValue="0">
        <cfvo type="percent" val="0"/>
        <cfvo type="formula" val="&quot;HOY()+90&quot;"/>
        <cfvo type="formula" val="&quot;HOY()+180&quot;"/>
      </iconSet>
    </cfRule>
  </conditionalFormatting>
  <conditionalFormatting sqref="I176">
    <cfRule type="iconSet" priority="236">
      <iconSet showValue="0">
        <cfvo type="percent" val="0"/>
        <cfvo type="formula" val="&quot;HOY()+90&quot;"/>
        <cfvo type="formula" val="&quot;HOY()+180&quot;"/>
      </iconSet>
    </cfRule>
  </conditionalFormatting>
  <conditionalFormatting sqref="H176">
    <cfRule type="iconSet" priority="235">
      <iconSet>
        <cfvo type="percent" val="0"/>
        <cfvo type="formula" val="6"/>
        <cfvo type="formula" val="12"/>
      </iconSet>
    </cfRule>
  </conditionalFormatting>
  <conditionalFormatting sqref="I206">
    <cfRule type="iconSet" priority="234">
      <iconSet showValue="0">
        <cfvo type="percent" val="0"/>
        <cfvo type="formula" val="&quot;HOY()+90&quot;"/>
        <cfvo type="formula" val="&quot;HOY()+180&quot;"/>
      </iconSet>
    </cfRule>
  </conditionalFormatting>
  <conditionalFormatting sqref="H206">
    <cfRule type="iconSet" priority="233">
      <iconSet>
        <cfvo type="percent" val="0"/>
        <cfvo type="formula" val="6"/>
        <cfvo type="formula" val="12"/>
      </iconSet>
    </cfRule>
  </conditionalFormatting>
  <conditionalFormatting sqref="I220">
    <cfRule type="iconSet" priority="232">
      <iconSet showValue="0">
        <cfvo type="percent" val="0"/>
        <cfvo type="formula" val="&quot;HOY()+90&quot;"/>
        <cfvo type="formula" val="&quot;HOY()+180&quot;"/>
      </iconSet>
    </cfRule>
  </conditionalFormatting>
  <conditionalFormatting sqref="H220">
    <cfRule type="iconSet" priority="231">
      <iconSet>
        <cfvo type="percent" val="0"/>
        <cfvo type="formula" val="6"/>
        <cfvo type="formula" val="12"/>
      </iconSet>
    </cfRule>
  </conditionalFormatting>
  <conditionalFormatting sqref="I227">
    <cfRule type="iconSet" priority="230">
      <iconSet showValue="0">
        <cfvo type="percent" val="0"/>
        <cfvo type="formula" val="&quot;HOY()+90&quot;"/>
        <cfvo type="formula" val="&quot;HOY()+180&quot;"/>
      </iconSet>
    </cfRule>
  </conditionalFormatting>
  <conditionalFormatting sqref="H227">
    <cfRule type="iconSet" priority="229">
      <iconSet>
        <cfvo type="percent" val="0"/>
        <cfvo type="formula" val="6"/>
        <cfvo type="formula" val="12"/>
      </iconSet>
    </cfRule>
  </conditionalFormatting>
  <conditionalFormatting sqref="I250">
    <cfRule type="iconSet" priority="228">
      <iconSet showValue="0">
        <cfvo type="percent" val="0"/>
        <cfvo type="formula" val="&quot;HOY()+90&quot;"/>
        <cfvo type="formula" val="&quot;HOY()+180&quot;"/>
      </iconSet>
    </cfRule>
  </conditionalFormatting>
  <conditionalFormatting sqref="H250">
    <cfRule type="iconSet" priority="227">
      <iconSet>
        <cfvo type="percent" val="0"/>
        <cfvo type="formula" val="6"/>
        <cfvo type="formula" val="12"/>
      </iconSet>
    </cfRule>
  </conditionalFormatting>
  <conditionalFormatting sqref="I251">
    <cfRule type="iconSet" priority="226">
      <iconSet showValue="0">
        <cfvo type="percent" val="0"/>
        <cfvo type="formula" val="&quot;HOY()+90&quot;"/>
        <cfvo type="formula" val="&quot;HOY()+180&quot;"/>
      </iconSet>
    </cfRule>
  </conditionalFormatting>
  <conditionalFormatting sqref="H251">
    <cfRule type="iconSet" priority="225">
      <iconSet>
        <cfvo type="percent" val="0"/>
        <cfvo type="formula" val="6"/>
        <cfvo type="formula" val="12"/>
      </iconSet>
    </cfRule>
  </conditionalFormatting>
  <conditionalFormatting sqref="I272">
    <cfRule type="iconSet" priority="224">
      <iconSet showValue="0">
        <cfvo type="percent" val="0"/>
        <cfvo type="formula" val="&quot;HOY()+90&quot;"/>
        <cfvo type="formula" val="&quot;HOY()+180&quot;"/>
      </iconSet>
    </cfRule>
  </conditionalFormatting>
  <conditionalFormatting sqref="H272">
    <cfRule type="iconSet" priority="223">
      <iconSet>
        <cfvo type="percent" val="0"/>
        <cfvo type="formula" val="6"/>
        <cfvo type="formula" val="12"/>
      </iconSet>
    </cfRule>
  </conditionalFormatting>
  <conditionalFormatting sqref="I66">
    <cfRule type="iconSet" priority="222">
      <iconSet showValue="0">
        <cfvo type="percent" val="0"/>
        <cfvo type="formula" val="&quot;HOY()+90&quot;"/>
        <cfvo type="formula" val="&quot;HOY()+180&quot;"/>
      </iconSet>
    </cfRule>
  </conditionalFormatting>
  <conditionalFormatting sqref="H66">
    <cfRule type="iconSet" priority="221">
      <iconSet>
        <cfvo type="percent" val="0"/>
        <cfvo type="formula" val="6"/>
        <cfvo type="formula" val="12"/>
      </iconSet>
    </cfRule>
  </conditionalFormatting>
  <conditionalFormatting sqref="I13">
    <cfRule type="iconSet" priority="220">
      <iconSet showValue="0">
        <cfvo type="percent" val="0"/>
        <cfvo type="formula" val="&quot;HOY()+90&quot;"/>
        <cfvo type="formula" val="&quot;HOY()+180&quot;"/>
      </iconSet>
    </cfRule>
  </conditionalFormatting>
  <conditionalFormatting sqref="H13">
    <cfRule type="iconSet" priority="219">
      <iconSet>
        <cfvo type="percent" val="0"/>
        <cfvo type="formula" val="6"/>
        <cfvo type="formula" val="12"/>
      </iconSet>
    </cfRule>
  </conditionalFormatting>
  <conditionalFormatting sqref="I72">
    <cfRule type="iconSet" priority="218">
      <iconSet showValue="0">
        <cfvo type="percent" val="0"/>
        <cfvo type="formula" val="&quot;HOY()+90&quot;"/>
        <cfvo type="formula" val="&quot;HOY()+180&quot;"/>
      </iconSet>
    </cfRule>
  </conditionalFormatting>
  <conditionalFormatting sqref="H72">
    <cfRule type="iconSet" priority="217">
      <iconSet>
        <cfvo type="percent" val="0"/>
        <cfvo type="formula" val="6"/>
        <cfvo type="formula" val="12"/>
      </iconSet>
    </cfRule>
  </conditionalFormatting>
  <conditionalFormatting sqref="I172">
    <cfRule type="iconSet" priority="216">
      <iconSet showValue="0">
        <cfvo type="percent" val="0"/>
        <cfvo type="formula" val="&quot;HOY()+90&quot;"/>
        <cfvo type="formula" val="&quot;HOY()+180&quot;"/>
      </iconSet>
    </cfRule>
  </conditionalFormatting>
  <conditionalFormatting sqref="H172">
    <cfRule type="iconSet" priority="215">
      <iconSet>
        <cfvo type="percent" val="0"/>
        <cfvo type="formula" val="6"/>
        <cfvo type="formula" val="12"/>
      </iconSet>
    </cfRule>
  </conditionalFormatting>
  <conditionalFormatting sqref="I143">
    <cfRule type="iconSet" priority="214">
      <iconSet showValue="0">
        <cfvo type="percent" val="0"/>
        <cfvo type="formula" val="&quot;HOY()+90&quot;"/>
        <cfvo type="formula" val="&quot;HOY()+180&quot;"/>
      </iconSet>
    </cfRule>
  </conditionalFormatting>
  <conditionalFormatting sqref="H143">
    <cfRule type="iconSet" priority="213">
      <iconSet>
        <cfvo type="percent" val="0"/>
        <cfvo type="formula" val="6"/>
        <cfvo type="formula" val="12"/>
      </iconSet>
    </cfRule>
  </conditionalFormatting>
  <conditionalFormatting sqref="I10">
    <cfRule type="iconSet" priority="212">
      <iconSet showValue="0">
        <cfvo type="percent" val="0"/>
        <cfvo type="formula" val="&quot;HOY()+90&quot;"/>
        <cfvo type="formula" val="&quot;HOY()+180&quot;"/>
      </iconSet>
    </cfRule>
  </conditionalFormatting>
  <conditionalFormatting sqref="H10">
    <cfRule type="iconSet" priority="211">
      <iconSet>
        <cfvo type="percent" val="0"/>
        <cfvo type="formula" val="6"/>
        <cfvo type="formula" val="12"/>
      </iconSet>
    </cfRule>
  </conditionalFormatting>
  <conditionalFormatting sqref="I62">
    <cfRule type="iconSet" priority="210">
      <iconSet showValue="0">
        <cfvo type="percent" val="0"/>
        <cfvo type="formula" val="&quot;HOY()+90&quot;"/>
        <cfvo type="formula" val="&quot;HOY()+180&quot;"/>
      </iconSet>
    </cfRule>
  </conditionalFormatting>
  <conditionalFormatting sqref="H62">
    <cfRule type="iconSet" priority="209">
      <iconSet>
        <cfvo type="percent" val="0"/>
        <cfvo type="formula" val="6"/>
        <cfvo type="formula" val="12"/>
      </iconSet>
    </cfRule>
  </conditionalFormatting>
  <conditionalFormatting sqref="I185">
    <cfRule type="iconSet" priority="208">
      <iconSet showValue="0">
        <cfvo type="percent" val="0"/>
        <cfvo type="formula" val="&quot;HOY()+90&quot;"/>
        <cfvo type="formula" val="&quot;HOY()+180&quot;"/>
      </iconSet>
    </cfRule>
  </conditionalFormatting>
  <conditionalFormatting sqref="H185">
    <cfRule type="iconSet" priority="207">
      <iconSet>
        <cfvo type="percent" val="0"/>
        <cfvo type="formula" val="6"/>
        <cfvo type="formula" val="12"/>
      </iconSet>
    </cfRule>
  </conditionalFormatting>
  <conditionalFormatting sqref="I193">
    <cfRule type="iconSet" priority="206">
      <iconSet showValue="0">
        <cfvo type="percent" val="0"/>
        <cfvo type="formula" val="&quot;HOY()+90&quot;"/>
        <cfvo type="formula" val="&quot;HOY()+180&quot;"/>
      </iconSet>
    </cfRule>
  </conditionalFormatting>
  <conditionalFormatting sqref="H193">
    <cfRule type="iconSet" priority="205">
      <iconSet>
        <cfvo type="percent" val="0"/>
        <cfvo type="formula" val="6"/>
        <cfvo type="formula" val="12"/>
      </iconSet>
    </cfRule>
  </conditionalFormatting>
  <conditionalFormatting sqref="I45">
    <cfRule type="iconSet" priority="204">
      <iconSet showValue="0">
        <cfvo type="percent" val="0"/>
        <cfvo type="formula" val="&quot;HOY()+90&quot;"/>
        <cfvo type="formula" val="&quot;HOY()+180&quot;"/>
      </iconSet>
    </cfRule>
  </conditionalFormatting>
  <conditionalFormatting sqref="H45">
    <cfRule type="iconSet" priority="203">
      <iconSet>
        <cfvo type="percent" val="0"/>
        <cfvo type="formula" val="6"/>
        <cfvo type="formula" val="12"/>
      </iconSet>
    </cfRule>
  </conditionalFormatting>
  <conditionalFormatting sqref="I14">
    <cfRule type="iconSet" priority="202">
      <iconSet showValue="0">
        <cfvo type="percent" val="0"/>
        <cfvo type="formula" val="&quot;HOY()+90&quot;"/>
        <cfvo type="formula" val="&quot;HOY()+180&quot;"/>
      </iconSet>
    </cfRule>
  </conditionalFormatting>
  <conditionalFormatting sqref="H14">
    <cfRule type="iconSet" priority="201">
      <iconSet>
        <cfvo type="percent" val="0"/>
        <cfvo type="formula" val="6"/>
        <cfvo type="formula" val="12"/>
      </iconSet>
    </cfRule>
  </conditionalFormatting>
  <conditionalFormatting sqref="I149">
    <cfRule type="iconSet" priority="200">
      <iconSet showValue="0">
        <cfvo type="percent" val="0"/>
        <cfvo type="formula" val="&quot;HOY()+90&quot;"/>
        <cfvo type="formula" val="&quot;HOY()+180&quot;"/>
      </iconSet>
    </cfRule>
  </conditionalFormatting>
  <conditionalFormatting sqref="H149">
    <cfRule type="iconSet" priority="199">
      <iconSet>
        <cfvo type="percent" val="0"/>
        <cfvo type="formula" val="6"/>
        <cfvo type="formula" val="12"/>
      </iconSet>
    </cfRule>
  </conditionalFormatting>
  <conditionalFormatting sqref="I180">
    <cfRule type="iconSet" priority="198">
      <iconSet showValue="0">
        <cfvo type="percent" val="0"/>
        <cfvo type="formula" val="&quot;HOY()+90&quot;"/>
        <cfvo type="formula" val="&quot;HOY()+180&quot;"/>
      </iconSet>
    </cfRule>
  </conditionalFormatting>
  <conditionalFormatting sqref="H180">
    <cfRule type="iconSet" priority="197">
      <iconSet>
        <cfvo type="percent" val="0"/>
        <cfvo type="formula" val="6"/>
        <cfvo type="formula" val="12"/>
      </iconSet>
    </cfRule>
  </conditionalFormatting>
  <conditionalFormatting sqref="I102">
    <cfRule type="iconSet" priority="196">
      <iconSet showValue="0">
        <cfvo type="percent" val="0"/>
        <cfvo type="formula" val="&quot;HOY()+90&quot;"/>
        <cfvo type="formula" val="&quot;HOY()+180&quot;"/>
      </iconSet>
    </cfRule>
  </conditionalFormatting>
  <conditionalFormatting sqref="H102">
    <cfRule type="iconSet" priority="195">
      <iconSet>
        <cfvo type="percent" val="0"/>
        <cfvo type="formula" val="6"/>
        <cfvo type="formula" val="12"/>
      </iconSet>
    </cfRule>
  </conditionalFormatting>
  <conditionalFormatting sqref="I280">
    <cfRule type="iconSet" priority="194">
      <iconSet showValue="0">
        <cfvo type="percent" val="0"/>
        <cfvo type="formula" val="&quot;HOY()+90&quot;"/>
        <cfvo type="formula" val="&quot;HOY()+180&quot;"/>
      </iconSet>
    </cfRule>
  </conditionalFormatting>
  <conditionalFormatting sqref="H280">
    <cfRule type="iconSet" priority="193">
      <iconSet>
        <cfvo type="percent" val="0"/>
        <cfvo type="formula" val="6"/>
        <cfvo type="formula" val="12"/>
      </iconSet>
    </cfRule>
  </conditionalFormatting>
  <conditionalFormatting sqref="I275">
    <cfRule type="iconSet" priority="192">
      <iconSet showValue="0">
        <cfvo type="percent" val="0"/>
        <cfvo type="formula" val="&quot;HOY()+90&quot;"/>
        <cfvo type="formula" val="&quot;HOY()+180&quot;"/>
      </iconSet>
    </cfRule>
  </conditionalFormatting>
  <conditionalFormatting sqref="H275">
    <cfRule type="iconSet" priority="191">
      <iconSet>
        <cfvo type="percent" val="0"/>
        <cfvo type="formula" val="6"/>
        <cfvo type="formula" val="12"/>
      </iconSet>
    </cfRule>
  </conditionalFormatting>
  <conditionalFormatting sqref="I273">
    <cfRule type="iconSet" priority="190">
      <iconSet showValue="0">
        <cfvo type="percent" val="0"/>
        <cfvo type="formula" val="&quot;HOY()+90&quot;"/>
        <cfvo type="formula" val="&quot;HOY()+180&quot;"/>
      </iconSet>
    </cfRule>
  </conditionalFormatting>
  <conditionalFormatting sqref="H273">
    <cfRule type="iconSet" priority="189">
      <iconSet>
        <cfvo type="percent" val="0"/>
        <cfvo type="formula" val="6"/>
        <cfvo type="formula" val="12"/>
      </iconSet>
    </cfRule>
  </conditionalFormatting>
  <conditionalFormatting sqref="I270">
    <cfRule type="iconSet" priority="188">
      <iconSet showValue="0">
        <cfvo type="percent" val="0"/>
        <cfvo type="formula" val="&quot;HOY()+90&quot;"/>
        <cfvo type="formula" val="&quot;HOY()+180&quot;"/>
      </iconSet>
    </cfRule>
  </conditionalFormatting>
  <conditionalFormatting sqref="H270">
    <cfRule type="iconSet" priority="187">
      <iconSet>
        <cfvo type="percent" val="0"/>
        <cfvo type="formula" val="6"/>
        <cfvo type="formula" val="12"/>
      </iconSet>
    </cfRule>
  </conditionalFormatting>
  <conditionalFormatting sqref="I268">
    <cfRule type="iconSet" priority="186">
      <iconSet showValue="0">
        <cfvo type="percent" val="0"/>
        <cfvo type="formula" val="&quot;HOY()+90&quot;"/>
        <cfvo type="formula" val="&quot;HOY()+180&quot;"/>
      </iconSet>
    </cfRule>
  </conditionalFormatting>
  <conditionalFormatting sqref="H268">
    <cfRule type="iconSet" priority="185">
      <iconSet>
        <cfvo type="percent" val="0"/>
        <cfvo type="formula" val="6"/>
        <cfvo type="formula" val="12"/>
      </iconSet>
    </cfRule>
  </conditionalFormatting>
  <conditionalFormatting sqref="I266">
    <cfRule type="iconSet" priority="184">
      <iconSet showValue="0">
        <cfvo type="percent" val="0"/>
        <cfvo type="formula" val="&quot;HOY()+90&quot;"/>
        <cfvo type="formula" val="&quot;HOY()+180&quot;"/>
      </iconSet>
    </cfRule>
  </conditionalFormatting>
  <conditionalFormatting sqref="H266">
    <cfRule type="iconSet" priority="183">
      <iconSet>
        <cfvo type="percent" val="0"/>
        <cfvo type="formula" val="6"/>
        <cfvo type="formula" val="12"/>
      </iconSet>
    </cfRule>
  </conditionalFormatting>
  <conditionalFormatting sqref="I262">
    <cfRule type="iconSet" priority="182">
      <iconSet showValue="0">
        <cfvo type="percent" val="0"/>
        <cfvo type="formula" val="&quot;HOY()+90&quot;"/>
        <cfvo type="formula" val="&quot;HOY()+180&quot;"/>
      </iconSet>
    </cfRule>
  </conditionalFormatting>
  <conditionalFormatting sqref="H262">
    <cfRule type="iconSet" priority="181">
      <iconSet>
        <cfvo type="percent" val="0"/>
        <cfvo type="formula" val="6"/>
        <cfvo type="formula" val="12"/>
      </iconSet>
    </cfRule>
  </conditionalFormatting>
  <conditionalFormatting sqref="I264">
    <cfRule type="iconSet" priority="180">
      <iconSet showValue="0">
        <cfvo type="percent" val="0"/>
        <cfvo type="formula" val="&quot;HOY()+90&quot;"/>
        <cfvo type="formula" val="&quot;HOY()+180&quot;"/>
      </iconSet>
    </cfRule>
  </conditionalFormatting>
  <conditionalFormatting sqref="H264">
    <cfRule type="iconSet" priority="179">
      <iconSet>
        <cfvo type="percent" val="0"/>
        <cfvo type="formula" val="6"/>
        <cfvo type="formula" val="12"/>
      </iconSet>
    </cfRule>
  </conditionalFormatting>
  <conditionalFormatting sqref="I260">
    <cfRule type="iconSet" priority="178">
      <iconSet showValue="0">
        <cfvo type="percent" val="0"/>
        <cfvo type="formula" val="&quot;HOY()+90&quot;"/>
        <cfvo type="formula" val="&quot;HOY()+180&quot;"/>
      </iconSet>
    </cfRule>
  </conditionalFormatting>
  <conditionalFormatting sqref="H260">
    <cfRule type="iconSet" priority="177">
      <iconSet>
        <cfvo type="percent" val="0"/>
        <cfvo type="formula" val="6"/>
        <cfvo type="formula" val="12"/>
      </iconSet>
    </cfRule>
  </conditionalFormatting>
  <conditionalFormatting sqref="I258">
    <cfRule type="iconSet" priority="176">
      <iconSet showValue="0">
        <cfvo type="percent" val="0"/>
        <cfvo type="formula" val="&quot;HOY()+90&quot;"/>
        <cfvo type="formula" val="&quot;HOY()+180&quot;"/>
      </iconSet>
    </cfRule>
  </conditionalFormatting>
  <conditionalFormatting sqref="H258">
    <cfRule type="iconSet" priority="175">
      <iconSet>
        <cfvo type="percent" val="0"/>
        <cfvo type="formula" val="6"/>
        <cfvo type="formula" val="12"/>
      </iconSet>
    </cfRule>
  </conditionalFormatting>
  <conditionalFormatting sqref="I256">
    <cfRule type="iconSet" priority="174">
      <iconSet showValue="0">
        <cfvo type="percent" val="0"/>
        <cfvo type="formula" val="&quot;HOY()+90&quot;"/>
        <cfvo type="formula" val="&quot;HOY()+180&quot;"/>
      </iconSet>
    </cfRule>
  </conditionalFormatting>
  <conditionalFormatting sqref="H256">
    <cfRule type="iconSet" priority="173">
      <iconSet>
        <cfvo type="percent" val="0"/>
        <cfvo type="formula" val="6"/>
        <cfvo type="formula" val="12"/>
      </iconSet>
    </cfRule>
  </conditionalFormatting>
  <conditionalFormatting sqref="I254">
    <cfRule type="iconSet" priority="172">
      <iconSet showValue="0">
        <cfvo type="percent" val="0"/>
        <cfvo type="formula" val="&quot;HOY()+90&quot;"/>
        <cfvo type="formula" val="&quot;HOY()+180&quot;"/>
      </iconSet>
    </cfRule>
  </conditionalFormatting>
  <conditionalFormatting sqref="H254">
    <cfRule type="iconSet" priority="171">
      <iconSet>
        <cfvo type="percent" val="0"/>
        <cfvo type="formula" val="6"/>
        <cfvo type="formula" val="12"/>
      </iconSet>
    </cfRule>
  </conditionalFormatting>
  <conditionalFormatting sqref="I252">
    <cfRule type="iconSet" priority="170">
      <iconSet showValue="0">
        <cfvo type="percent" val="0"/>
        <cfvo type="formula" val="&quot;HOY()+90&quot;"/>
        <cfvo type="formula" val="&quot;HOY()+180&quot;"/>
      </iconSet>
    </cfRule>
  </conditionalFormatting>
  <conditionalFormatting sqref="H252">
    <cfRule type="iconSet" priority="169">
      <iconSet>
        <cfvo type="percent" val="0"/>
        <cfvo type="formula" val="6"/>
        <cfvo type="formula" val="12"/>
      </iconSet>
    </cfRule>
  </conditionalFormatting>
  <conditionalFormatting sqref="I249">
    <cfRule type="iconSet" priority="168">
      <iconSet showValue="0">
        <cfvo type="percent" val="0"/>
        <cfvo type="formula" val="&quot;HOY()+90&quot;"/>
        <cfvo type="formula" val="&quot;HOY()+180&quot;"/>
      </iconSet>
    </cfRule>
  </conditionalFormatting>
  <conditionalFormatting sqref="H249">
    <cfRule type="iconSet" priority="167">
      <iconSet>
        <cfvo type="percent" val="0"/>
        <cfvo type="formula" val="6"/>
        <cfvo type="formula" val="12"/>
      </iconSet>
    </cfRule>
  </conditionalFormatting>
  <conditionalFormatting sqref="I247">
    <cfRule type="iconSet" priority="166">
      <iconSet showValue="0">
        <cfvo type="percent" val="0"/>
        <cfvo type="formula" val="&quot;HOY()+90&quot;"/>
        <cfvo type="formula" val="&quot;HOY()+180&quot;"/>
      </iconSet>
    </cfRule>
  </conditionalFormatting>
  <conditionalFormatting sqref="H247">
    <cfRule type="iconSet" priority="165">
      <iconSet>
        <cfvo type="percent" val="0"/>
        <cfvo type="formula" val="6"/>
        <cfvo type="formula" val="12"/>
      </iconSet>
    </cfRule>
  </conditionalFormatting>
  <conditionalFormatting sqref="I245">
    <cfRule type="iconSet" priority="164">
      <iconSet showValue="0">
        <cfvo type="percent" val="0"/>
        <cfvo type="formula" val="&quot;HOY()+90&quot;"/>
        <cfvo type="formula" val="&quot;HOY()+180&quot;"/>
      </iconSet>
    </cfRule>
  </conditionalFormatting>
  <conditionalFormatting sqref="H245">
    <cfRule type="iconSet" priority="163">
      <iconSet>
        <cfvo type="percent" val="0"/>
        <cfvo type="formula" val="6"/>
        <cfvo type="formula" val="12"/>
      </iconSet>
    </cfRule>
  </conditionalFormatting>
  <conditionalFormatting sqref="I241">
    <cfRule type="iconSet" priority="162">
      <iconSet showValue="0">
        <cfvo type="percent" val="0"/>
        <cfvo type="formula" val="&quot;HOY()+90&quot;"/>
        <cfvo type="formula" val="&quot;HOY()+180&quot;"/>
      </iconSet>
    </cfRule>
  </conditionalFormatting>
  <conditionalFormatting sqref="H241">
    <cfRule type="iconSet" priority="161">
      <iconSet>
        <cfvo type="percent" val="0"/>
        <cfvo type="formula" val="6"/>
        <cfvo type="formula" val="12"/>
      </iconSet>
    </cfRule>
  </conditionalFormatting>
  <conditionalFormatting sqref="I243">
    <cfRule type="iconSet" priority="160">
      <iconSet showValue="0">
        <cfvo type="percent" val="0"/>
        <cfvo type="formula" val="&quot;HOY()+90&quot;"/>
        <cfvo type="formula" val="&quot;HOY()+180&quot;"/>
      </iconSet>
    </cfRule>
  </conditionalFormatting>
  <conditionalFormatting sqref="H243">
    <cfRule type="iconSet" priority="159">
      <iconSet>
        <cfvo type="percent" val="0"/>
        <cfvo type="formula" val="6"/>
        <cfvo type="formula" val="12"/>
      </iconSet>
    </cfRule>
  </conditionalFormatting>
  <conditionalFormatting sqref="I239">
    <cfRule type="iconSet" priority="158">
      <iconSet showValue="0">
        <cfvo type="percent" val="0"/>
        <cfvo type="formula" val="&quot;HOY()+90&quot;"/>
        <cfvo type="formula" val="&quot;HOY()+180&quot;"/>
      </iconSet>
    </cfRule>
  </conditionalFormatting>
  <conditionalFormatting sqref="H239">
    <cfRule type="iconSet" priority="157">
      <iconSet>
        <cfvo type="percent" val="0"/>
        <cfvo type="formula" val="6"/>
        <cfvo type="formula" val="12"/>
      </iconSet>
    </cfRule>
  </conditionalFormatting>
  <conditionalFormatting sqref="I236">
    <cfRule type="iconSet" priority="156">
      <iconSet showValue="0">
        <cfvo type="percent" val="0"/>
        <cfvo type="formula" val="&quot;HOY()+90&quot;"/>
        <cfvo type="formula" val="&quot;HOY()+180&quot;"/>
      </iconSet>
    </cfRule>
  </conditionalFormatting>
  <conditionalFormatting sqref="H236">
    <cfRule type="iconSet" priority="155">
      <iconSet>
        <cfvo type="percent" val="0"/>
        <cfvo type="formula" val="6"/>
        <cfvo type="formula" val="12"/>
      </iconSet>
    </cfRule>
  </conditionalFormatting>
  <conditionalFormatting sqref="I233">
    <cfRule type="iconSet" priority="154">
      <iconSet showValue="0">
        <cfvo type="percent" val="0"/>
        <cfvo type="formula" val="&quot;HOY()+90&quot;"/>
        <cfvo type="formula" val="&quot;HOY()+180&quot;"/>
      </iconSet>
    </cfRule>
  </conditionalFormatting>
  <conditionalFormatting sqref="H233">
    <cfRule type="iconSet" priority="153">
      <iconSet>
        <cfvo type="percent" val="0"/>
        <cfvo type="formula" val="6"/>
        <cfvo type="formula" val="12"/>
      </iconSet>
    </cfRule>
  </conditionalFormatting>
  <conditionalFormatting sqref="I231">
    <cfRule type="iconSet" priority="152">
      <iconSet showValue="0">
        <cfvo type="percent" val="0"/>
        <cfvo type="formula" val="&quot;HOY()+90&quot;"/>
        <cfvo type="formula" val="&quot;HOY()+180&quot;"/>
      </iconSet>
    </cfRule>
  </conditionalFormatting>
  <conditionalFormatting sqref="H231">
    <cfRule type="iconSet" priority="151">
      <iconSet>
        <cfvo type="percent" val="0"/>
        <cfvo type="formula" val="6"/>
        <cfvo type="formula" val="12"/>
      </iconSet>
    </cfRule>
  </conditionalFormatting>
  <conditionalFormatting sqref="I228">
    <cfRule type="iconSet" priority="150">
      <iconSet showValue="0">
        <cfvo type="percent" val="0"/>
        <cfvo type="formula" val="&quot;HOY()+90&quot;"/>
        <cfvo type="formula" val="&quot;HOY()+180&quot;"/>
      </iconSet>
    </cfRule>
  </conditionalFormatting>
  <conditionalFormatting sqref="H228">
    <cfRule type="iconSet" priority="149">
      <iconSet>
        <cfvo type="percent" val="0"/>
        <cfvo type="formula" val="6"/>
        <cfvo type="formula" val="12"/>
      </iconSet>
    </cfRule>
  </conditionalFormatting>
  <conditionalFormatting sqref="I225">
    <cfRule type="iconSet" priority="148">
      <iconSet showValue="0">
        <cfvo type="percent" val="0"/>
        <cfvo type="formula" val="&quot;HOY()+90&quot;"/>
        <cfvo type="formula" val="&quot;HOY()+180&quot;"/>
      </iconSet>
    </cfRule>
  </conditionalFormatting>
  <conditionalFormatting sqref="H225">
    <cfRule type="iconSet" priority="147">
      <iconSet>
        <cfvo type="percent" val="0"/>
        <cfvo type="formula" val="6"/>
        <cfvo type="formula" val="12"/>
      </iconSet>
    </cfRule>
  </conditionalFormatting>
  <conditionalFormatting sqref="I223">
    <cfRule type="iconSet" priority="146">
      <iconSet showValue="0">
        <cfvo type="percent" val="0"/>
        <cfvo type="formula" val="&quot;HOY()+90&quot;"/>
        <cfvo type="formula" val="&quot;HOY()+180&quot;"/>
      </iconSet>
    </cfRule>
  </conditionalFormatting>
  <conditionalFormatting sqref="H223">
    <cfRule type="iconSet" priority="145">
      <iconSet>
        <cfvo type="percent" val="0"/>
        <cfvo type="formula" val="6"/>
        <cfvo type="formula" val="12"/>
      </iconSet>
    </cfRule>
  </conditionalFormatting>
  <conditionalFormatting sqref="I221">
    <cfRule type="iconSet" priority="144">
      <iconSet showValue="0">
        <cfvo type="percent" val="0"/>
        <cfvo type="formula" val="&quot;HOY()+90&quot;"/>
        <cfvo type="formula" val="&quot;HOY()+180&quot;"/>
      </iconSet>
    </cfRule>
  </conditionalFormatting>
  <conditionalFormatting sqref="H221">
    <cfRule type="iconSet" priority="143">
      <iconSet>
        <cfvo type="percent" val="0"/>
        <cfvo type="formula" val="6"/>
        <cfvo type="formula" val="12"/>
      </iconSet>
    </cfRule>
  </conditionalFormatting>
  <conditionalFormatting sqref="I218">
    <cfRule type="iconSet" priority="142">
      <iconSet showValue="0">
        <cfvo type="percent" val="0"/>
        <cfvo type="formula" val="&quot;HOY()+90&quot;"/>
        <cfvo type="formula" val="&quot;HOY()+180&quot;"/>
      </iconSet>
    </cfRule>
  </conditionalFormatting>
  <conditionalFormatting sqref="H218">
    <cfRule type="iconSet" priority="141">
      <iconSet>
        <cfvo type="percent" val="0"/>
        <cfvo type="formula" val="6"/>
        <cfvo type="formula" val="12"/>
      </iconSet>
    </cfRule>
  </conditionalFormatting>
  <conditionalFormatting sqref="I216">
    <cfRule type="iconSet" priority="140">
      <iconSet showValue="0">
        <cfvo type="percent" val="0"/>
        <cfvo type="formula" val="&quot;HOY()+90&quot;"/>
        <cfvo type="formula" val="&quot;HOY()+180&quot;"/>
      </iconSet>
    </cfRule>
  </conditionalFormatting>
  <conditionalFormatting sqref="H216">
    <cfRule type="iconSet" priority="139">
      <iconSet>
        <cfvo type="percent" val="0"/>
        <cfvo type="formula" val="6"/>
        <cfvo type="formula" val="12"/>
      </iconSet>
    </cfRule>
  </conditionalFormatting>
  <conditionalFormatting sqref="I214">
    <cfRule type="iconSet" priority="138">
      <iconSet showValue="0">
        <cfvo type="percent" val="0"/>
        <cfvo type="formula" val="&quot;HOY()+90&quot;"/>
        <cfvo type="formula" val="&quot;HOY()+180&quot;"/>
      </iconSet>
    </cfRule>
  </conditionalFormatting>
  <conditionalFormatting sqref="H214">
    <cfRule type="iconSet" priority="137">
      <iconSet>
        <cfvo type="percent" val="0"/>
        <cfvo type="formula" val="6"/>
        <cfvo type="formula" val="12"/>
      </iconSet>
    </cfRule>
  </conditionalFormatting>
  <conditionalFormatting sqref="I212">
    <cfRule type="iconSet" priority="136">
      <iconSet showValue="0">
        <cfvo type="percent" val="0"/>
        <cfvo type="formula" val="&quot;HOY()+90&quot;"/>
        <cfvo type="formula" val="&quot;HOY()+180&quot;"/>
      </iconSet>
    </cfRule>
  </conditionalFormatting>
  <conditionalFormatting sqref="H212">
    <cfRule type="iconSet" priority="135">
      <iconSet>
        <cfvo type="percent" val="0"/>
        <cfvo type="formula" val="6"/>
        <cfvo type="formula" val="12"/>
      </iconSet>
    </cfRule>
  </conditionalFormatting>
  <conditionalFormatting sqref="I210">
    <cfRule type="iconSet" priority="134">
      <iconSet showValue="0">
        <cfvo type="percent" val="0"/>
        <cfvo type="formula" val="&quot;HOY()+90&quot;"/>
        <cfvo type="formula" val="&quot;HOY()+180&quot;"/>
      </iconSet>
    </cfRule>
  </conditionalFormatting>
  <conditionalFormatting sqref="H210">
    <cfRule type="iconSet" priority="133">
      <iconSet>
        <cfvo type="percent" val="0"/>
        <cfvo type="formula" val="6"/>
        <cfvo type="formula" val="12"/>
      </iconSet>
    </cfRule>
  </conditionalFormatting>
  <conditionalFormatting sqref="I207">
    <cfRule type="iconSet" priority="132">
      <iconSet showValue="0">
        <cfvo type="percent" val="0"/>
        <cfvo type="formula" val="&quot;HOY()+90&quot;"/>
        <cfvo type="formula" val="&quot;HOY()+180&quot;"/>
      </iconSet>
    </cfRule>
  </conditionalFormatting>
  <conditionalFormatting sqref="H207">
    <cfRule type="iconSet" priority="131">
      <iconSet>
        <cfvo type="percent" val="0"/>
        <cfvo type="formula" val="6"/>
        <cfvo type="formula" val="12"/>
      </iconSet>
    </cfRule>
  </conditionalFormatting>
  <conditionalFormatting sqref="I204">
    <cfRule type="iconSet" priority="130">
      <iconSet showValue="0">
        <cfvo type="percent" val="0"/>
        <cfvo type="formula" val="&quot;HOY()+90&quot;"/>
        <cfvo type="formula" val="&quot;HOY()+180&quot;"/>
      </iconSet>
    </cfRule>
  </conditionalFormatting>
  <conditionalFormatting sqref="H204">
    <cfRule type="iconSet" priority="129">
      <iconSet>
        <cfvo type="percent" val="0"/>
        <cfvo type="formula" val="6"/>
        <cfvo type="formula" val="12"/>
      </iconSet>
    </cfRule>
  </conditionalFormatting>
  <conditionalFormatting sqref="I195">
    <cfRule type="iconSet" priority="128">
      <iconSet showValue="0">
        <cfvo type="percent" val="0"/>
        <cfvo type="formula" val="&quot;HOY()+90&quot;"/>
        <cfvo type="formula" val="&quot;HOY()+180&quot;"/>
      </iconSet>
    </cfRule>
  </conditionalFormatting>
  <conditionalFormatting sqref="H195">
    <cfRule type="iconSet" priority="127">
      <iconSet>
        <cfvo type="percent" val="0"/>
        <cfvo type="formula" val="6"/>
        <cfvo type="formula" val="12"/>
      </iconSet>
    </cfRule>
  </conditionalFormatting>
  <conditionalFormatting sqref="I192">
    <cfRule type="iconSet" priority="126">
      <iconSet showValue="0">
        <cfvo type="percent" val="0"/>
        <cfvo type="formula" val="&quot;HOY()+90&quot;"/>
        <cfvo type="formula" val="&quot;HOY()+180&quot;"/>
      </iconSet>
    </cfRule>
  </conditionalFormatting>
  <conditionalFormatting sqref="H192">
    <cfRule type="iconSet" priority="125">
      <iconSet>
        <cfvo type="percent" val="0"/>
        <cfvo type="formula" val="6"/>
        <cfvo type="formula" val="12"/>
      </iconSet>
    </cfRule>
  </conditionalFormatting>
  <conditionalFormatting sqref="I190">
    <cfRule type="iconSet" priority="124">
      <iconSet showValue="0">
        <cfvo type="percent" val="0"/>
        <cfvo type="formula" val="&quot;HOY()+90&quot;"/>
        <cfvo type="formula" val="&quot;HOY()+180&quot;"/>
      </iconSet>
    </cfRule>
  </conditionalFormatting>
  <conditionalFormatting sqref="H190">
    <cfRule type="iconSet" priority="123">
      <iconSet>
        <cfvo type="percent" val="0"/>
        <cfvo type="formula" val="6"/>
        <cfvo type="formula" val="12"/>
      </iconSet>
    </cfRule>
  </conditionalFormatting>
  <conditionalFormatting sqref="I187">
    <cfRule type="iconSet" priority="122">
      <iconSet showValue="0">
        <cfvo type="percent" val="0"/>
        <cfvo type="formula" val="&quot;HOY()+90&quot;"/>
        <cfvo type="formula" val="&quot;HOY()+180&quot;"/>
      </iconSet>
    </cfRule>
  </conditionalFormatting>
  <conditionalFormatting sqref="H187">
    <cfRule type="iconSet" priority="121">
      <iconSet>
        <cfvo type="percent" val="0"/>
        <cfvo type="formula" val="6"/>
        <cfvo type="formula" val="12"/>
      </iconSet>
    </cfRule>
  </conditionalFormatting>
  <conditionalFormatting sqref="I184">
    <cfRule type="iconSet" priority="120">
      <iconSet showValue="0">
        <cfvo type="percent" val="0"/>
        <cfvo type="formula" val="&quot;HOY()+90&quot;"/>
        <cfvo type="formula" val="&quot;HOY()+180&quot;"/>
      </iconSet>
    </cfRule>
  </conditionalFormatting>
  <conditionalFormatting sqref="H184">
    <cfRule type="iconSet" priority="119">
      <iconSet>
        <cfvo type="percent" val="0"/>
        <cfvo type="formula" val="6"/>
        <cfvo type="formula" val="12"/>
      </iconSet>
    </cfRule>
  </conditionalFormatting>
  <conditionalFormatting sqref="I182">
    <cfRule type="iconSet" priority="118">
      <iconSet showValue="0">
        <cfvo type="percent" val="0"/>
        <cfvo type="formula" val="&quot;HOY()+90&quot;"/>
        <cfvo type="formula" val="&quot;HOY()+180&quot;"/>
      </iconSet>
    </cfRule>
  </conditionalFormatting>
  <conditionalFormatting sqref="H182">
    <cfRule type="iconSet" priority="117">
      <iconSet>
        <cfvo type="percent" val="0"/>
        <cfvo type="formula" val="6"/>
        <cfvo type="formula" val="12"/>
      </iconSet>
    </cfRule>
  </conditionalFormatting>
  <conditionalFormatting sqref="I179">
    <cfRule type="iconSet" priority="116">
      <iconSet showValue="0">
        <cfvo type="percent" val="0"/>
        <cfvo type="formula" val="&quot;HOY()+90&quot;"/>
        <cfvo type="formula" val="&quot;HOY()+180&quot;"/>
      </iconSet>
    </cfRule>
  </conditionalFormatting>
  <conditionalFormatting sqref="H179">
    <cfRule type="iconSet" priority="115">
      <iconSet>
        <cfvo type="percent" val="0"/>
        <cfvo type="formula" val="6"/>
        <cfvo type="formula" val="12"/>
      </iconSet>
    </cfRule>
  </conditionalFormatting>
  <conditionalFormatting sqref="I177">
    <cfRule type="iconSet" priority="114">
      <iconSet showValue="0">
        <cfvo type="percent" val="0"/>
        <cfvo type="formula" val="&quot;HOY()+90&quot;"/>
        <cfvo type="formula" val="&quot;HOY()+180&quot;"/>
      </iconSet>
    </cfRule>
  </conditionalFormatting>
  <conditionalFormatting sqref="H177">
    <cfRule type="iconSet" priority="113">
      <iconSet>
        <cfvo type="percent" val="0"/>
        <cfvo type="formula" val="6"/>
        <cfvo type="formula" val="12"/>
      </iconSet>
    </cfRule>
  </conditionalFormatting>
  <conditionalFormatting sqref="I174">
    <cfRule type="iconSet" priority="112">
      <iconSet showValue="0">
        <cfvo type="percent" val="0"/>
        <cfvo type="formula" val="&quot;HOY()+90&quot;"/>
        <cfvo type="formula" val="&quot;HOY()+180&quot;"/>
      </iconSet>
    </cfRule>
  </conditionalFormatting>
  <conditionalFormatting sqref="H174">
    <cfRule type="iconSet" priority="111">
      <iconSet>
        <cfvo type="percent" val="0"/>
        <cfvo type="formula" val="6"/>
        <cfvo type="formula" val="12"/>
      </iconSet>
    </cfRule>
  </conditionalFormatting>
  <conditionalFormatting sqref="I171">
    <cfRule type="iconSet" priority="110">
      <iconSet showValue="0">
        <cfvo type="percent" val="0"/>
        <cfvo type="formula" val="&quot;HOY()+90&quot;"/>
        <cfvo type="formula" val="&quot;HOY()+180&quot;"/>
      </iconSet>
    </cfRule>
  </conditionalFormatting>
  <conditionalFormatting sqref="H171">
    <cfRule type="iconSet" priority="109">
      <iconSet>
        <cfvo type="percent" val="0"/>
        <cfvo type="formula" val="6"/>
        <cfvo type="formula" val="12"/>
      </iconSet>
    </cfRule>
  </conditionalFormatting>
  <conditionalFormatting sqref="I168">
    <cfRule type="iconSet" priority="108">
      <iconSet showValue="0">
        <cfvo type="percent" val="0"/>
        <cfvo type="formula" val="&quot;HOY()+90&quot;"/>
        <cfvo type="formula" val="&quot;HOY()+180&quot;"/>
      </iconSet>
    </cfRule>
  </conditionalFormatting>
  <conditionalFormatting sqref="H168">
    <cfRule type="iconSet" priority="107">
      <iconSet>
        <cfvo type="percent" val="0"/>
        <cfvo type="formula" val="6"/>
        <cfvo type="formula" val="12"/>
      </iconSet>
    </cfRule>
  </conditionalFormatting>
  <conditionalFormatting sqref="I164">
    <cfRule type="iconSet" priority="106">
      <iconSet showValue="0">
        <cfvo type="percent" val="0"/>
        <cfvo type="formula" val="&quot;HOY()+90&quot;"/>
        <cfvo type="formula" val="&quot;HOY()+180&quot;"/>
      </iconSet>
    </cfRule>
  </conditionalFormatting>
  <conditionalFormatting sqref="H164">
    <cfRule type="iconSet" priority="105">
      <iconSet>
        <cfvo type="percent" val="0"/>
        <cfvo type="formula" val="6"/>
        <cfvo type="formula" val="12"/>
      </iconSet>
    </cfRule>
  </conditionalFormatting>
  <conditionalFormatting sqref="I162">
    <cfRule type="iconSet" priority="104">
      <iconSet showValue="0">
        <cfvo type="percent" val="0"/>
        <cfvo type="formula" val="&quot;HOY()+90&quot;"/>
        <cfvo type="formula" val="&quot;HOY()+180&quot;"/>
      </iconSet>
    </cfRule>
  </conditionalFormatting>
  <conditionalFormatting sqref="H162">
    <cfRule type="iconSet" priority="103">
      <iconSet>
        <cfvo type="percent" val="0"/>
        <cfvo type="formula" val="6"/>
        <cfvo type="formula" val="12"/>
      </iconSet>
    </cfRule>
  </conditionalFormatting>
  <conditionalFormatting sqref="I160">
    <cfRule type="iconSet" priority="102">
      <iconSet showValue="0">
        <cfvo type="percent" val="0"/>
        <cfvo type="formula" val="&quot;HOY()+90&quot;"/>
        <cfvo type="formula" val="&quot;HOY()+180&quot;"/>
      </iconSet>
    </cfRule>
  </conditionalFormatting>
  <conditionalFormatting sqref="H160">
    <cfRule type="iconSet" priority="101">
      <iconSet>
        <cfvo type="percent" val="0"/>
        <cfvo type="formula" val="6"/>
        <cfvo type="formula" val="12"/>
      </iconSet>
    </cfRule>
  </conditionalFormatting>
  <conditionalFormatting sqref="I156">
    <cfRule type="iconSet" priority="100">
      <iconSet showValue="0">
        <cfvo type="percent" val="0"/>
        <cfvo type="formula" val="&quot;HOY()+90&quot;"/>
        <cfvo type="formula" val="&quot;HOY()+180&quot;"/>
      </iconSet>
    </cfRule>
  </conditionalFormatting>
  <conditionalFormatting sqref="H156">
    <cfRule type="iconSet" priority="99">
      <iconSet>
        <cfvo type="percent" val="0"/>
        <cfvo type="formula" val="6"/>
        <cfvo type="formula" val="12"/>
      </iconSet>
    </cfRule>
  </conditionalFormatting>
  <conditionalFormatting sqref="I154">
    <cfRule type="iconSet" priority="98">
      <iconSet showValue="0">
        <cfvo type="percent" val="0"/>
        <cfvo type="formula" val="&quot;HOY()+90&quot;"/>
        <cfvo type="formula" val="&quot;HOY()+180&quot;"/>
      </iconSet>
    </cfRule>
  </conditionalFormatting>
  <conditionalFormatting sqref="H154">
    <cfRule type="iconSet" priority="97">
      <iconSet>
        <cfvo type="percent" val="0"/>
        <cfvo type="formula" val="6"/>
        <cfvo type="formula" val="12"/>
      </iconSet>
    </cfRule>
  </conditionalFormatting>
  <conditionalFormatting sqref="I152">
    <cfRule type="iconSet" priority="96">
      <iconSet showValue="0">
        <cfvo type="percent" val="0"/>
        <cfvo type="formula" val="&quot;HOY()+90&quot;"/>
        <cfvo type="formula" val="&quot;HOY()+180&quot;"/>
      </iconSet>
    </cfRule>
  </conditionalFormatting>
  <conditionalFormatting sqref="H152">
    <cfRule type="iconSet" priority="95">
      <iconSet>
        <cfvo type="percent" val="0"/>
        <cfvo type="formula" val="6"/>
        <cfvo type="formula" val="12"/>
      </iconSet>
    </cfRule>
  </conditionalFormatting>
  <conditionalFormatting sqref="I148">
    <cfRule type="iconSet" priority="94">
      <iconSet showValue="0">
        <cfvo type="percent" val="0"/>
        <cfvo type="formula" val="&quot;HOY()+90&quot;"/>
        <cfvo type="formula" val="&quot;HOY()+180&quot;"/>
      </iconSet>
    </cfRule>
  </conditionalFormatting>
  <conditionalFormatting sqref="H148">
    <cfRule type="iconSet" priority="93">
      <iconSet>
        <cfvo type="percent" val="0"/>
        <cfvo type="formula" val="6"/>
        <cfvo type="formula" val="12"/>
      </iconSet>
    </cfRule>
  </conditionalFormatting>
  <conditionalFormatting sqref="I145">
    <cfRule type="iconSet" priority="92">
      <iconSet showValue="0">
        <cfvo type="percent" val="0"/>
        <cfvo type="formula" val="&quot;HOY()+90&quot;"/>
        <cfvo type="formula" val="&quot;HOY()+180&quot;"/>
      </iconSet>
    </cfRule>
  </conditionalFormatting>
  <conditionalFormatting sqref="H145">
    <cfRule type="iconSet" priority="91">
      <iconSet>
        <cfvo type="percent" val="0"/>
        <cfvo type="formula" val="6"/>
        <cfvo type="formula" val="12"/>
      </iconSet>
    </cfRule>
  </conditionalFormatting>
  <conditionalFormatting sqref="I141">
    <cfRule type="iconSet" priority="90">
      <iconSet showValue="0">
        <cfvo type="percent" val="0"/>
        <cfvo type="formula" val="&quot;HOY()+90&quot;"/>
        <cfvo type="formula" val="&quot;HOY()+180&quot;"/>
      </iconSet>
    </cfRule>
  </conditionalFormatting>
  <conditionalFormatting sqref="H141">
    <cfRule type="iconSet" priority="89">
      <iconSet>
        <cfvo type="percent" val="0"/>
        <cfvo type="formula" val="6"/>
        <cfvo type="formula" val="12"/>
      </iconSet>
    </cfRule>
  </conditionalFormatting>
  <conditionalFormatting sqref="I137">
    <cfRule type="iconSet" priority="88">
      <iconSet showValue="0">
        <cfvo type="percent" val="0"/>
        <cfvo type="formula" val="&quot;HOY()+90&quot;"/>
        <cfvo type="formula" val="&quot;HOY()+180&quot;"/>
      </iconSet>
    </cfRule>
  </conditionalFormatting>
  <conditionalFormatting sqref="H137">
    <cfRule type="iconSet" priority="87">
      <iconSet>
        <cfvo type="percent" val="0"/>
        <cfvo type="formula" val="6"/>
        <cfvo type="formula" val="12"/>
      </iconSet>
    </cfRule>
  </conditionalFormatting>
  <conditionalFormatting sqref="I135">
    <cfRule type="iconSet" priority="86">
      <iconSet showValue="0">
        <cfvo type="percent" val="0"/>
        <cfvo type="formula" val="&quot;HOY()+90&quot;"/>
        <cfvo type="formula" val="&quot;HOY()+180&quot;"/>
      </iconSet>
    </cfRule>
  </conditionalFormatting>
  <conditionalFormatting sqref="H135">
    <cfRule type="iconSet" priority="85">
      <iconSet>
        <cfvo type="percent" val="0"/>
        <cfvo type="formula" val="6"/>
        <cfvo type="formula" val="12"/>
      </iconSet>
    </cfRule>
  </conditionalFormatting>
  <conditionalFormatting sqref="I133">
    <cfRule type="iconSet" priority="84">
      <iconSet showValue="0">
        <cfvo type="percent" val="0"/>
        <cfvo type="formula" val="&quot;HOY()+90&quot;"/>
        <cfvo type="formula" val="&quot;HOY()+180&quot;"/>
      </iconSet>
    </cfRule>
  </conditionalFormatting>
  <conditionalFormatting sqref="H133">
    <cfRule type="iconSet" priority="83">
      <iconSet>
        <cfvo type="percent" val="0"/>
        <cfvo type="formula" val="6"/>
        <cfvo type="formula" val="12"/>
      </iconSet>
    </cfRule>
  </conditionalFormatting>
  <conditionalFormatting sqref="I131">
    <cfRule type="iconSet" priority="82">
      <iconSet showValue="0">
        <cfvo type="percent" val="0"/>
        <cfvo type="formula" val="&quot;HOY()+90&quot;"/>
        <cfvo type="formula" val="&quot;HOY()+180&quot;"/>
      </iconSet>
    </cfRule>
  </conditionalFormatting>
  <conditionalFormatting sqref="H131">
    <cfRule type="iconSet" priority="81">
      <iconSet>
        <cfvo type="percent" val="0"/>
        <cfvo type="formula" val="6"/>
        <cfvo type="formula" val="12"/>
      </iconSet>
    </cfRule>
  </conditionalFormatting>
  <conditionalFormatting sqref="I129">
    <cfRule type="iconSet" priority="80">
      <iconSet showValue="0">
        <cfvo type="percent" val="0"/>
        <cfvo type="formula" val="&quot;HOY()+90&quot;"/>
        <cfvo type="formula" val="&quot;HOY()+180&quot;"/>
      </iconSet>
    </cfRule>
  </conditionalFormatting>
  <conditionalFormatting sqref="H129">
    <cfRule type="iconSet" priority="79">
      <iconSet>
        <cfvo type="percent" val="0"/>
        <cfvo type="formula" val="6"/>
        <cfvo type="formula" val="12"/>
      </iconSet>
    </cfRule>
  </conditionalFormatting>
  <conditionalFormatting sqref="I127">
    <cfRule type="iconSet" priority="78">
      <iconSet showValue="0">
        <cfvo type="percent" val="0"/>
        <cfvo type="formula" val="&quot;HOY()+90&quot;"/>
        <cfvo type="formula" val="&quot;HOY()+180&quot;"/>
      </iconSet>
    </cfRule>
  </conditionalFormatting>
  <conditionalFormatting sqref="H127">
    <cfRule type="iconSet" priority="77">
      <iconSet>
        <cfvo type="percent" val="0"/>
        <cfvo type="formula" val="6"/>
        <cfvo type="formula" val="12"/>
      </iconSet>
    </cfRule>
  </conditionalFormatting>
  <conditionalFormatting sqref="I125">
    <cfRule type="iconSet" priority="76">
      <iconSet showValue="0">
        <cfvo type="percent" val="0"/>
        <cfvo type="formula" val="&quot;HOY()+90&quot;"/>
        <cfvo type="formula" val="&quot;HOY()+180&quot;"/>
      </iconSet>
    </cfRule>
  </conditionalFormatting>
  <conditionalFormatting sqref="H125">
    <cfRule type="iconSet" priority="75">
      <iconSet>
        <cfvo type="percent" val="0"/>
        <cfvo type="formula" val="6"/>
        <cfvo type="formula" val="12"/>
      </iconSet>
    </cfRule>
  </conditionalFormatting>
  <conditionalFormatting sqref="I122">
    <cfRule type="iconSet" priority="74">
      <iconSet showValue="0">
        <cfvo type="percent" val="0"/>
        <cfvo type="formula" val="&quot;HOY()+90&quot;"/>
        <cfvo type="formula" val="&quot;HOY()+180&quot;"/>
      </iconSet>
    </cfRule>
  </conditionalFormatting>
  <conditionalFormatting sqref="H122">
    <cfRule type="iconSet" priority="73">
      <iconSet>
        <cfvo type="percent" val="0"/>
        <cfvo type="formula" val="6"/>
        <cfvo type="formula" val="12"/>
      </iconSet>
    </cfRule>
  </conditionalFormatting>
  <conditionalFormatting sqref="I120">
    <cfRule type="iconSet" priority="72">
      <iconSet showValue="0">
        <cfvo type="percent" val="0"/>
        <cfvo type="formula" val="&quot;HOY()+90&quot;"/>
        <cfvo type="formula" val="&quot;HOY()+180&quot;"/>
      </iconSet>
    </cfRule>
  </conditionalFormatting>
  <conditionalFormatting sqref="H120">
    <cfRule type="iconSet" priority="71">
      <iconSet>
        <cfvo type="percent" val="0"/>
        <cfvo type="formula" val="6"/>
        <cfvo type="formula" val="12"/>
      </iconSet>
    </cfRule>
  </conditionalFormatting>
  <conditionalFormatting sqref="I116">
    <cfRule type="iconSet" priority="70">
      <iconSet showValue="0">
        <cfvo type="percent" val="0"/>
        <cfvo type="formula" val="&quot;HOY()+90&quot;"/>
        <cfvo type="formula" val="&quot;HOY()+180&quot;"/>
      </iconSet>
    </cfRule>
  </conditionalFormatting>
  <conditionalFormatting sqref="H116">
    <cfRule type="iconSet" priority="69">
      <iconSet>
        <cfvo type="percent" val="0"/>
        <cfvo type="formula" val="6"/>
        <cfvo type="formula" val="12"/>
      </iconSet>
    </cfRule>
  </conditionalFormatting>
  <conditionalFormatting sqref="I113">
    <cfRule type="iconSet" priority="68">
      <iconSet showValue="0">
        <cfvo type="percent" val="0"/>
        <cfvo type="formula" val="&quot;HOY()+90&quot;"/>
        <cfvo type="formula" val="&quot;HOY()+180&quot;"/>
      </iconSet>
    </cfRule>
  </conditionalFormatting>
  <conditionalFormatting sqref="H113">
    <cfRule type="iconSet" priority="67">
      <iconSet>
        <cfvo type="percent" val="0"/>
        <cfvo type="formula" val="6"/>
        <cfvo type="formula" val="12"/>
      </iconSet>
    </cfRule>
  </conditionalFormatting>
  <conditionalFormatting sqref="I110">
    <cfRule type="iconSet" priority="66">
      <iconSet showValue="0">
        <cfvo type="percent" val="0"/>
        <cfvo type="formula" val="&quot;HOY()+90&quot;"/>
        <cfvo type="formula" val="&quot;HOY()+180&quot;"/>
      </iconSet>
    </cfRule>
  </conditionalFormatting>
  <conditionalFormatting sqref="H110">
    <cfRule type="iconSet" priority="65">
      <iconSet>
        <cfvo type="percent" val="0"/>
        <cfvo type="formula" val="6"/>
        <cfvo type="formula" val="12"/>
      </iconSet>
    </cfRule>
  </conditionalFormatting>
  <conditionalFormatting sqref="I105">
    <cfRule type="iconSet" priority="64">
      <iconSet showValue="0">
        <cfvo type="percent" val="0"/>
        <cfvo type="formula" val="&quot;HOY()+90&quot;"/>
        <cfvo type="formula" val="&quot;HOY()+180&quot;"/>
      </iconSet>
    </cfRule>
  </conditionalFormatting>
  <conditionalFormatting sqref="H105">
    <cfRule type="iconSet" priority="63">
      <iconSet>
        <cfvo type="percent" val="0"/>
        <cfvo type="formula" val="6"/>
        <cfvo type="formula" val="12"/>
      </iconSet>
    </cfRule>
  </conditionalFormatting>
  <conditionalFormatting sqref="I103">
    <cfRule type="iconSet" priority="62">
      <iconSet showValue="0">
        <cfvo type="percent" val="0"/>
        <cfvo type="formula" val="&quot;HOY()+90&quot;"/>
        <cfvo type="formula" val="&quot;HOY()+180&quot;"/>
      </iconSet>
    </cfRule>
  </conditionalFormatting>
  <conditionalFormatting sqref="H103">
    <cfRule type="iconSet" priority="61">
      <iconSet>
        <cfvo type="percent" val="0"/>
        <cfvo type="formula" val="6"/>
        <cfvo type="formula" val="12"/>
      </iconSet>
    </cfRule>
  </conditionalFormatting>
  <conditionalFormatting sqref="I101">
    <cfRule type="iconSet" priority="60">
      <iconSet showValue="0">
        <cfvo type="percent" val="0"/>
        <cfvo type="formula" val="&quot;HOY()+90&quot;"/>
        <cfvo type="formula" val="&quot;HOY()+180&quot;"/>
      </iconSet>
    </cfRule>
  </conditionalFormatting>
  <conditionalFormatting sqref="H101">
    <cfRule type="iconSet" priority="59">
      <iconSet>
        <cfvo type="percent" val="0"/>
        <cfvo type="formula" val="6"/>
        <cfvo type="formula" val="12"/>
      </iconSet>
    </cfRule>
  </conditionalFormatting>
  <conditionalFormatting sqref="I99">
    <cfRule type="iconSet" priority="58">
      <iconSet showValue="0">
        <cfvo type="percent" val="0"/>
        <cfvo type="formula" val="&quot;HOY()+90&quot;"/>
        <cfvo type="formula" val="&quot;HOY()+180&quot;"/>
      </iconSet>
    </cfRule>
  </conditionalFormatting>
  <conditionalFormatting sqref="H99">
    <cfRule type="iconSet" priority="57">
      <iconSet>
        <cfvo type="percent" val="0"/>
        <cfvo type="formula" val="6"/>
        <cfvo type="formula" val="12"/>
      </iconSet>
    </cfRule>
  </conditionalFormatting>
  <conditionalFormatting sqref="I97">
    <cfRule type="iconSet" priority="56">
      <iconSet showValue="0">
        <cfvo type="percent" val="0"/>
        <cfvo type="formula" val="&quot;HOY()+90&quot;"/>
        <cfvo type="formula" val="&quot;HOY()+180&quot;"/>
      </iconSet>
    </cfRule>
  </conditionalFormatting>
  <conditionalFormatting sqref="H97">
    <cfRule type="iconSet" priority="55">
      <iconSet>
        <cfvo type="percent" val="0"/>
        <cfvo type="formula" val="6"/>
        <cfvo type="formula" val="12"/>
      </iconSet>
    </cfRule>
  </conditionalFormatting>
  <conditionalFormatting sqref="I93">
    <cfRule type="iconSet" priority="54">
      <iconSet showValue="0">
        <cfvo type="percent" val="0"/>
        <cfvo type="formula" val="&quot;HOY()+90&quot;"/>
        <cfvo type="formula" val="&quot;HOY()+180&quot;"/>
      </iconSet>
    </cfRule>
  </conditionalFormatting>
  <conditionalFormatting sqref="H93">
    <cfRule type="iconSet" priority="53">
      <iconSet>
        <cfvo type="percent" val="0"/>
        <cfvo type="formula" val="6"/>
        <cfvo type="formula" val="12"/>
      </iconSet>
    </cfRule>
  </conditionalFormatting>
  <conditionalFormatting sqref="I90">
    <cfRule type="iconSet" priority="52">
      <iconSet showValue="0">
        <cfvo type="percent" val="0"/>
        <cfvo type="formula" val="&quot;HOY()+90&quot;"/>
        <cfvo type="formula" val="&quot;HOY()+180&quot;"/>
      </iconSet>
    </cfRule>
  </conditionalFormatting>
  <conditionalFormatting sqref="H90">
    <cfRule type="iconSet" priority="51">
      <iconSet>
        <cfvo type="percent" val="0"/>
        <cfvo type="formula" val="6"/>
        <cfvo type="formula" val="12"/>
      </iconSet>
    </cfRule>
  </conditionalFormatting>
  <conditionalFormatting sqref="I86">
    <cfRule type="iconSet" priority="50">
      <iconSet showValue="0">
        <cfvo type="percent" val="0"/>
        <cfvo type="formula" val="&quot;HOY()+90&quot;"/>
        <cfvo type="formula" val="&quot;HOY()+180&quot;"/>
      </iconSet>
    </cfRule>
  </conditionalFormatting>
  <conditionalFormatting sqref="H86">
    <cfRule type="iconSet" priority="49">
      <iconSet>
        <cfvo type="percent" val="0"/>
        <cfvo type="formula" val="6"/>
        <cfvo type="formula" val="12"/>
      </iconSet>
    </cfRule>
  </conditionalFormatting>
  <conditionalFormatting sqref="I84">
    <cfRule type="iconSet" priority="48">
      <iconSet showValue="0">
        <cfvo type="percent" val="0"/>
        <cfvo type="formula" val="&quot;HOY()+90&quot;"/>
        <cfvo type="formula" val="&quot;HOY()+180&quot;"/>
      </iconSet>
    </cfRule>
  </conditionalFormatting>
  <conditionalFormatting sqref="H84">
    <cfRule type="iconSet" priority="47">
      <iconSet>
        <cfvo type="percent" val="0"/>
        <cfvo type="formula" val="6"/>
        <cfvo type="formula" val="12"/>
      </iconSet>
    </cfRule>
  </conditionalFormatting>
  <conditionalFormatting sqref="I88">
    <cfRule type="iconSet" priority="46">
      <iconSet showValue="0">
        <cfvo type="percent" val="0"/>
        <cfvo type="formula" val="&quot;HOY()+90&quot;"/>
        <cfvo type="formula" val="&quot;HOY()+180&quot;"/>
      </iconSet>
    </cfRule>
  </conditionalFormatting>
  <conditionalFormatting sqref="H88">
    <cfRule type="iconSet" priority="45">
      <iconSet>
        <cfvo type="percent" val="0"/>
        <cfvo type="formula" val="6"/>
        <cfvo type="formula" val="12"/>
      </iconSet>
    </cfRule>
  </conditionalFormatting>
  <conditionalFormatting sqref="I77">
    <cfRule type="iconSet" priority="44">
      <iconSet showValue="0">
        <cfvo type="percent" val="0"/>
        <cfvo type="formula" val="&quot;HOY()+90&quot;"/>
        <cfvo type="formula" val="&quot;HOY()+180&quot;"/>
      </iconSet>
    </cfRule>
  </conditionalFormatting>
  <conditionalFormatting sqref="H77">
    <cfRule type="iconSet" priority="43">
      <iconSet>
        <cfvo type="percent" val="0"/>
        <cfvo type="formula" val="6"/>
        <cfvo type="formula" val="12"/>
      </iconSet>
    </cfRule>
  </conditionalFormatting>
  <conditionalFormatting sqref="I75">
    <cfRule type="iconSet" priority="42">
      <iconSet showValue="0">
        <cfvo type="percent" val="0"/>
        <cfvo type="formula" val="&quot;HOY()+90&quot;"/>
        <cfvo type="formula" val="&quot;HOY()+180&quot;"/>
      </iconSet>
    </cfRule>
  </conditionalFormatting>
  <conditionalFormatting sqref="H75">
    <cfRule type="iconSet" priority="41">
      <iconSet>
        <cfvo type="percent" val="0"/>
        <cfvo type="formula" val="6"/>
        <cfvo type="formula" val="12"/>
      </iconSet>
    </cfRule>
  </conditionalFormatting>
  <conditionalFormatting sqref="I70">
    <cfRule type="iconSet" priority="40">
      <iconSet showValue="0">
        <cfvo type="percent" val="0"/>
        <cfvo type="formula" val="&quot;HOY()+90&quot;"/>
        <cfvo type="formula" val="&quot;HOY()+180&quot;"/>
      </iconSet>
    </cfRule>
  </conditionalFormatting>
  <conditionalFormatting sqref="H70">
    <cfRule type="iconSet" priority="39">
      <iconSet>
        <cfvo type="percent" val="0"/>
        <cfvo type="formula" val="6"/>
        <cfvo type="formula" val="12"/>
      </iconSet>
    </cfRule>
  </conditionalFormatting>
  <conditionalFormatting sqref="I68">
    <cfRule type="iconSet" priority="38">
      <iconSet showValue="0">
        <cfvo type="percent" val="0"/>
        <cfvo type="formula" val="&quot;HOY()+90&quot;"/>
        <cfvo type="formula" val="&quot;HOY()+180&quot;"/>
      </iconSet>
    </cfRule>
  </conditionalFormatting>
  <conditionalFormatting sqref="H68">
    <cfRule type="iconSet" priority="37">
      <iconSet>
        <cfvo type="percent" val="0"/>
        <cfvo type="formula" val="6"/>
        <cfvo type="formula" val="12"/>
      </iconSet>
    </cfRule>
  </conditionalFormatting>
  <conditionalFormatting sqref="I65">
    <cfRule type="iconSet" priority="36">
      <iconSet showValue="0">
        <cfvo type="percent" val="0"/>
        <cfvo type="formula" val="&quot;HOY()+90&quot;"/>
        <cfvo type="formula" val="&quot;HOY()+180&quot;"/>
      </iconSet>
    </cfRule>
  </conditionalFormatting>
  <conditionalFormatting sqref="H65">
    <cfRule type="iconSet" priority="35">
      <iconSet>
        <cfvo type="percent" val="0"/>
        <cfvo type="formula" val="6"/>
        <cfvo type="formula" val="12"/>
      </iconSet>
    </cfRule>
  </conditionalFormatting>
  <conditionalFormatting sqref="I61">
    <cfRule type="iconSet" priority="34">
      <iconSet showValue="0">
        <cfvo type="percent" val="0"/>
        <cfvo type="formula" val="&quot;HOY()+90&quot;"/>
        <cfvo type="formula" val="&quot;HOY()+180&quot;"/>
      </iconSet>
    </cfRule>
  </conditionalFormatting>
  <conditionalFormatting sqref="H61">
    <cfRule type="iconSet" priority="33">
      <iconSet>
        <cfvo type="percent" val="0"/>
        <cfvo type="formula" val="6"/>
        <cfvo type="formula" val="12"/>
      </iconSet>
    </cfRule>
  </conditionalFormatting>
  <conditionalFormatting sqref="I57">
    <cfRule type="iconSet" priority="32">
      <iconSet showValue="0">
        <cfvo type="percent" val="0"/>
        <cfvo type="formula" val="&quot;HOY()+90&quot;"/>
        <cfvo type="formula" val="&quot;HOY()+180&quot;"/>
      </iconSet>
    </cfRule>
  </conditionalFormatting>
  <conditionalFormatting sqref="H57">
    <cfRule type="iconSet" priority="31">
      <iconSet>
        <cfvo type="percent" val="0"/>
        <cfvo type="formula" val="6"/>
        <cfvo type="formula" val="12"/>
      </iconSet>
    </cfRule>
  </conditionalFormatting>
  <conditionalFormatting sqref="I59">
    <cfRule type="iconSet" priority="30">
      <iconSet showValue="0">
        <cfvo type="percent" val="0"/>
        <cfvo type="formula" val="&quot;HOY()+90&quot;"/>
        <cfvo type="formula" val="&quot;HOY()+180&quot;"/>
      </iconSet>
    </cfRule>
  </conditionalFormatting>
  <conditionalFormatting sqref="H59">
    <cfRule type="iconSet" priority="29">
      <iconSet>
        <cfvo type="percent" val="0"/>
        <cfvo type="formula" val="6"/>
        <cfvo type="formula" val="12"/>
      </iconSet>
    </cfRule>
  </conditionalFormatting>
  <conditionalFormatting sqref="I50">
    <cfRule type="iconSet" priority="28">
      <iconSet showValue="0">
        <cfvo type="percent" val="0"/>
        <cfvo type="formula" val="&quot;HOY()+90&quot;"/>
        <cfvo type="formula" val="&quot;HOY()+180&quot;"/>
      </iconSet>
    </cfRule>
  </conditionalFormatting>
  <conditionalFormatting sqref="H50">
    <cfRule type="iconSet" priority="27">
      <iconSet>
        <cfvo type="percent" val="0"/>
        <cfvo type="formula" val="6"/>
        <cfvo type="formula" val="12"/>
      </iconSet>
    </cfRule>
  </conditionalFormatting>
  <conditionalFormatting sqref="I48">
    <cfRule type="iconSet" priority="26">
      <iconSet showValue="0">
        <cfvo type="percent" val="0"/>
        <cfvo type="formula" val="&quot;HOY()+90&quot;"/>
        <cfvo type="formula" val="&quot;HOY()+180&quot;"/>
      </iconSet>
    </cfRule>
  </conditionalFormatting>
  <conditionalFormatting sqref="H48">
    <cfRule type="iconSet" priority="25">
      <iconSet>
        <cfvo type="percent" val="0"/>
        <cfvo type="formula" val="6"/>
        <cfvo type="formula" val="12"/>
      </iconSet>
    </cfRule>
  </conditionalFormatting>
  <conditionalFormatting sqref="I43">
    <cfRule type="iconSet" priority="24">
      <iconSet showValue="0">
        <cfvo type="percent" val="0"/>
        <cfvo type="formula" val="&quot;HOY()+90&quot;"/>
        <cfvo type="formula" val="&quot;HOY()+180&quot;"/>
      </iconSet>
    </cfRule>
  </conditionalFormatting>
  <conditionalFormatting sqref="H43">
    <cfRule type="iconSet" priority="23">
      <iconSet>
        <cfvo type="percent" val="0"/>
        <cfvo type="formula" val="6"/>
        <cfvo type="formula" val="12"/>
      </iconSet>
    </cfRule>
  </conditionalFormatting>
  <conditionalFormatting sqref="I39">
    <cfRule type="iconSet" priority="22">
      <iconSet showValue="0">
        <cfvo type="percent" val="0"/>
        <cfvo type="formula" val="&quot;HOY()+90&quot;"/>
        <cfvo type="formula" val="&quot;HOY()+180&quot;"/>
      </iconSet>
    </cfRule>
  </conditionalFormatting>
  <conditionalFormatting sqref="H39">
    <cfRule type="iconSet" priority="21">
      <iconSet>
        <cfvo type="percent" val="0"/>
        <cfvo type="formula" val="6"/>
        <cfvo type="formula" val="12"/>
      </iconSet>
    </cfRule>
  </conditionalFormatting>
  <conditionalFormatting sqref="I37">
    <cfRule type="iconSet" priority="20">
      <iconSet showValue="0">
        <cfvo type="percent" val="0"/>
        <cfvo type="formula" val="&quot;HOY()+90&quot;"/>
        <cfvo type="formula" val="&quot;HOY()+180&quot;"/>
      </iconSet>
    </cfRule>
  </conditionalFormatting>
  <conditionalFormatting sqref="H37">
    <cfRule type="iconSet" priority="19">
      <iconSet>
        <cfvo type="percent" val="0"/>
        <cfvo type="formula" val="6"/>
        <cfvo type="formula" val="12"/>
      </iconSet>
    </cfRule>
  </conditionalFormatting>
  <conditionalFormatting sqref="I35">
    <cfRule type="iconSet" priority="18">
      <iconSet showValue="0">
        <cfvo type="percent" val="0"/>
        <cfvo type="formula" val="&quot;HOY()+90&quot;"/>
        <cfvo type="formula" val="&quot;HOY()+180&quot;"/>
      </iconSet>
    </cfRule>
  </conditionalFormatting>
  <conditionalFormatting sqref="H35">
    <cfRule type="iconSet" priority="17">
      <iconSet>
        <cfvo type="percent" val="0"/>
        <cfvo type="formula" val="6"/>
        <cfvo type="formula" val="12"/>
      </iconSet>
    </cfRule>
  </conditionalFormatting>
  <conditionalFormatting sqref="I33">
    <cfRule type="iconSet" priority="16">
      <iconSet showValue="0">
        <cfvo type="percent" val="0"/>
        <cfvo type="formula" val="&quot;HOY()+90&quot;"/>
        <cfvo type="formula" val="&quot;HOY()+180&quot;"/>
      </iconSet>
    </cfRule>
  </conditionalFormatting>
  <conditionalFormatting sqref="H33">
    <cfRule type="iconSet" priority="15">
      <iconSet>
        <cfvo type="percent" val="0"/>
        <cfvo type="formula" val="6"/>
        <cfvo type="formula" val="12"/>
      </iconSet>
    </cfRule>
  </conditionalFormatting>
  <conditionalFormatting sqref="I29">
    <cfRule type="iconSet" priority="14">
      <iconSet showValue="0">
        <cfvo type="percent" val="0"/>
        <cfvo type="formula" val="&quot;HOY()+90&quot;"/>
        <cfvo type="formula" val="&quot;HOY()+180&quot;"/>
      </iconSet>
    </cfRule>
  </conditionalFormatting>
  <conditionalFormatting sqref="H29">
    <cfRule type="iconSet" priority="13">
      <iconSet>
        <cfvo type="percent" val="0"/>
        <cfvo type="formula" val="6"/>
        <cfvo type="formula" val="12"/>
      </iconSet>
    </cfRule>
  </conditionalFormatting>
  <conditionalFormatting sqref="I26">
    <cfRule type="iconSet" priority="12">
      <iconSet showValue="0">
        <cfvo type="percent" val="0"/>
        <cfvo type="formula" val="&quot;HOY()+90&quot;"/>
        <cfvo type="formula" val="&quot;HOY()+180&quot;"/>
      </iconSet>
    </cfRule>
  </conditionalFormatting>
  <conditionalFormatting sqref="H26">
    <cfRule type="iconSet" priority="11">
      <iconSet>
        <cfvo type="percent" val="0"/>
        <cfvo type="formula" val="6"/>
        <cfvo type="formula" val="12"/>
      </iconSet>
    </cfRule>
  </conditionalFormatting>
  <conditionalFormatting sqref="I24">
    <cfRule type="iconSet" priority="10">
      <iconSet showValue="0">
        <cfvo type="percent" val="0"/>
        <cfvo type="formula" val="&quot;HOY()+90&quot;"/>
        <cfvo type="formula" val="&quot;HOY()+180&quot;"/>
      </iconSet>
    </cfRule>
  </conditionalFormatting>
  <conditionalFormatting sqref="H24">
    <cfRule type="iconSet" priority="9">
      <iconSet>
        <cfvo type="percent" val="0"/>
        <cfvo type="formula" val="6"/>
        <cfvo type="formula" val="12"/>
      </iconSet>
    </cfRule>
  </conditionalFormatting>
  <conditionalFormatting sqref="I21">
    <cfRule type="iconSet" priority="8">
      <iconSet showValue="0">
        <cfvo type="percent" val="0"/>
        <cfvo type="formula" val="&quot;HOY()+90&quot;"/>
        <cfvo type="formula" val="&quot;HOY()+180&quot;"/>
      </iconSet>
    </cfRule>
  </conditionalFormatting>
  <conditionalFormatting sqref="H21">
    <cfRule type="iconSet" priority="7">
      <iconSet>
        <cfvo type="percent" val="0"/>
        <cfvo type="formula" val="6"/>
        <cfvo type="formula" val="12"/>
      </iconSet>
    </cfRule>
  </conditionalFormatting>
  <conditionalFormatting sqref="I16">
    <cfRule type="iconSet" priority="6">
      <iconSet showValue="0">
        <cfvo type="percent" val="0"/>
        <cfvo type="formula" val="&quot;HOY()+90&quot;"/>
        <cfvo type="formula" val="&quot;HOY()+180&quot;"/>
      </iconSet>
    </cfRule>
  </conditionalFormatting>
  <conditionalFormatting sqref="H16">
    <cfRule type="iconSet" priority="5">
      <iconSet>
        <cfvo type="percent" val="0"/>
        <cfvo type="formula" val="6"/>
        <cfvo type="formula" val="12"/>
      </iconSet>
    </cfRule>
  </conditionalFormatting>
  <conditionalFormatting sqref="I12">
    <cfRule type="iconSet" priority="4">
      <iconSet showValue="0">
        <cfvo type="percent" val="0"/>
        <cfvo type="formula" val="&quot;HOY()+90&quot;"/>
        <cfvo type="formula" val="&quot;HOY()+180&quot;"/>
      </iconSet>
    </cfRule>
  </conditionalFormatting>
  <conditionalFormatting sqref="H12">
    <cfRule type="iconSet" priority="3">
      <iconSet>
        <cfvo type="percent" val="0"/>
        <cfvo type="formula" val="6"/>
        <cfvo type="formula" val="12"/>
      </iconSet>
    </cfRule>
  </conditionalFormatting>
  <conditionalFormatting sqref="I9">
    <cfRule type="iconSet" priority="2">
      <iconSet showValue="0">
        <cfvo type="percent" val="0"/>
        <cfvo type="formula" val="&quot;HOY()+90&quot;"/>
        <cfvo type="formula" val="&quot;HOY()+180&quot;"/>
      </iconSet>
    </cfRule>
  </conditionalFormatting>
  <conditionalFormatting sqref="H9">
    <cfRule type="iconSet" priority="1">
      <iconSet>
        <cfvo type="percent" val="0"/>
        <cfvo type="formula" val="6"/>
        <cfvo type="formula" val="12"/>
      </iconSet>
    </cfRule>
  </conditionalFormatting>
  <hyperlinks>
    <hyperlink ref="M7" r:id="rId1" xr:uid="{1152D742-3A7D-4BC9-B73C-0A0FF4BDFEBF}"/>
    <hyperlink ref="M8" r:id="rId2" xr:uid="{5476EA6B-84A1-4AED-8DDA-E955D2AF020A}"/>
    <hyperlink ref="M23" r:id="rId3" xr:uid="{E806E145-8AB9-4C2B-91B7-19F0ADCA9B39}"/>
    <hyperlink ref="M27" r:id="rId4" xr:uid="{CBCFD9C9-456A-42F4-AB4C-B1C0CEC9F331}"/>
    <hyperlink ref="M28" r:id="rId5" xr:uid="{5567E16E-B5F4-42A9-948C-F7E68B8742CA}"/>
    <hyperlink ref="M32" r:id="rId6" xr:uid="{ED29E2F3-6918-4DD5-AEBC-75018535157F}"/>
    <hyperlink ref="M36" r:id="rId7" xr:uid="{546E9D3B-D30F-493A-BD76-E82BF4F9B1AA}"/>
    <hyperlink ref="M38" r:id="rId8" xr:uid="{8E37055D-3016-4B11-B828-4C9E2F212339}"/>
    <hyperlink ref="M42" r:id="rId9" xr:uid="{752090F2-395A-4A5A-B536-BD7B7935D04D}"/>
    <hyperlink ref="M47" r:id="rId10" xr:uid="{F5954E76-CB3F-4033-BBF2-780C13367CF6}"/>
    <hyperlink ref="M49" r:id="rId11" xr:uid="{3E8EA669-2182-404D-8062-0BB810BF7960}"/>
    <hyperlink ref="M53" r:id="rId12" xr:uid="{4E43C9A3-9113-445A-BB0D-2ABBAD28DF79}"/>
    <hyperlink ref="M52" r:id="rId13" xr:uid="{9C2877EB-5CDF-4BCF-A547-377E35407CD9}"/>
    <hyperlink ref="M56" r:id="rId14" xr:uid="{65CBE687-9E19-44D4-8D15-2BC2A2180D7A}"/>
    <hyperlink ref="M54" r:id="rId15" xr:uid="{430C47D5-85EC-4EF1-A511-BB5FEBC48B59}"/>
    <hyperlink ref="M55" r:id="rId16" xr:uid="{441CF2BF-84D3-493D-B7B9-87A9A510EAB0}"/>
    <hyperlink ref="M58" r:id="rId17" xr:uid="{C58758D0-50ED-4FCE-9406-768B79FEBB29}"/>
    <hyperlink ref="M74" r:id="rId18" xr:uid="{8B1FB41E-25BB-446C-895C-B21911006C0E}"/>
    <hyperlink ref="M78" r:id="rId19" xr:uid="{B8DD198B-DE3A-4D65-A2EA-FEC951EE16A1}"/>
    <hyperlink ref="M79" r:id="rId20" xr:uid="{6D3580F5-E5C2-4C12-BD36-2E7D4D1561AD}"/>
    <hyperlink ref="M80" r:id="rId21" xr:uid="{5BDCEC45-FE62-44C7-AEE8-0D1A2E8ED68D}"/>
    <hyperlink ref="M82" r:id="rId22" xr:uid="{8A352D64-8725-4A88-AF90-AE954524AB7C}"/>
    <hyperlink ref="M83" r:id="rId23" xr:uid="{82426E1A-3271-44AA-9443-B4982B82DEB9}"/>
    <hyperlink ref="M91" r:id="rId24" xr:uid="{D3F5E0A3-B4E2-4E93-8D31-F6C750926E7A}"/>
    <hyperlink ref="M92" r:id="rId25" xr:uid="{B16D9DA4-429F-4D73-867D-C7CFA74AE60D}"/>
    <hyperlink ref="M104" r:id="rId26" xr:uid="{ABCD4123-81EB-432E-AE4D-DD70231F5392}"/>
    <hyperlink ref="M112" r:id="rId27" xr:uid="{0658E5D5-F6CF-46DF-BC74-05AE194AE9DD}"/>
    <hyperlink ref="M115" r:id="rId28" xr:uid="{44320080-8D34-4922-B4DC-236ED431238B}"/>
    <hyperlink ref="M119" r:id="rId29" xr:uid="{6D9B213D-5622-48AC-9913-F8B22ED627BB}"/>
    <hyperlink ref="M124" r:id="rId30" xr:uid="{034F20D1-8885-48AC-803F-6AD00AC4E5FF}"/>
    <hyperlink ref="M123" r:id="rId31" xr:uid="{9F392F0E-7C8A-4FC4-8B3A-6934ED279E8A}"/>
    <hyperlink ref="M128" r:id="rId32" xr:uid="{40F78BBF-ED9A-4B44-BD6D-0D2DBD8B900A}"/>
    <hyperlink ref="M136" r:id="rId33" xr:uid="{5684E68A-7167-44D4-8280-9C1A29F72B45}"/>
    <hyperlink ref="M144" r:id="rId34" xr:uid="{3492D5DC-42A4-4476-9388-2C64084025B6}"/>
    <hyperlink ref="M146" r:id="rId35" xr:uid="{BE9F2122-00FB-4ACE-BEFA-58C1C2C09921}"/>
    <hyperlink ref="M147" r:id="rId36" xr:uid="{24904C7C-4577-4B7F-AE77-8154DAE21E00}"/>
    <hyperlink ref="M155" r:id="rId37" xr:uid="{32FED8ED-AC20-4ABD-9510-C2E64CFD21C5}"/>
    <hyperlink ref="M158" r:id="rId38" xr:uid="{C0B80D77-384C-471D-ABD3-75C0EEB39FAE}"/>
    <hyperlink ref="M159" r:id="rId39" xr:uid="{8DA14C33-3B36-448D-B2DC-57334BDABC8B}"/>
    <hyperlink ref="M163" r:id="rId40" xr:uid="{38D299A6-F8B3-437A-913A-B7829235997E}"/>
    <hyperlink ref="M167" r:id="rId41" xr:uid="{BC32D673-EA96-4E35-AAC7-58EEC0186570}"/>
    <hyperlink ref="M170" r:id="rId42" xr:uid="{372EBF4F-8A5D-4E43-BD26-DE0B57EE1107}"/>
    <hyperlink ref="M176" r:id="rId43" xr:uid="{ED80EE72-3D81-4954-BB8B-2E509583D585}"/>
    <hyperlink ref="M189" r:id="rId44" xr:uid="{2B9AFCB8-0205-48C5-A028-4AED2C60538C}"/>
    <hyperlink ref="M191" r:id="rId45" xr:uid="{20FEBB9C-BDAB-49C6-B738-540DFFD69041}"/>
    <hyperlink ref="M196" r:id="rId46" xr:uid="{702FE4BB-D998-4929-B7FD-8BDBE1E62B61}"/>
    <hyperlink ref="M197" r:id="rId47" xr:uid="{FEF2F17F-938D-426A-B04F-B78DA09DB08E}"/>
    <hyperlink ref="M198" r:id="rId48" xr:uid="{90B87877-E666-475F-B09E-CD33634C6AC8}"/>
    <hyperlink ref="M199" r:id="rId49" xr:uid="{E9968187-7652-4B12-8C7E-F529F5D7A78E}"/>
    <hyperlink ref="M200" r:id="rId50" xr:uid="{62E47D69-6DF0-4E26-ACAA-340ED2ECE945}"/>
    <hyperlink ref="M201" r:id="rId51" xr:uid="{78C3F634-78A6-47CB-A168-7ABE67FD6BD6}"/>
    <hyperlink ref="M202" r:id="rId52" xr:uid="{21230794-ABD7-4A92-86F6-D084B1CAA58B}"/>
    <hyperlink ref="M203" r:id="rId53" xr:uid="{4968726E-9AB3-4853-8BF6-D9064AACD1D6}"/>
    <hyperlink ref="M206" r:id="rId54" xr:uid="{5614BE45-2CDA-4311-8155-E1AD9158008B}"/>
    <hyperlink ref="M209" r:id="rId55" xr:uid="{0AB83D22-8E71-49A6-9566-085A78E3B99E}"/>
    <hyperlink ref="M211" r:id="rId56" xr:uid="{D406022E-73F3-4C81-9794-C5F7FB31EC36}"/>
    <hyperlink ref="M229" r:id="rId57" xr:uid="{C1CD1D1A-6B58-4EE5-BBE9-C0D1C854820D}"/>
    <hyperlink ref="M230" r:id="rId58" xr:uid="{B15978AF-0755-499B-8415-177D2A68C081}"/>
    <hyperlink ref="M235" r:id="rId59" xr:uid="{663CE834-1FBF-41A1-9A51-6F800AF8653C}"/>
    <hyperlink ref="M238" r:id="rId60" xr:uid="{C9E33445-3907-4961-BF99-A548AD1BDE0B}"/>
    <hyperlink ref="M242" r:id="rId61" xr:uid="{182E9D7A-1108-49F0-BF0B-CCDBA9BF8276}"/>
    <hyperlink ref="M251" r:id="rId62" xr:uid="{AF45BD4F-4581-4CF5-9E87-6F6A51DD213D}"/>
    <hyperlink ref="M253" r:id="rId63" xr:uid="{205B1F2C-2551-4EFB-A3F8-E53745F6E404}"/>
    <hyperlink ref="M255" r:id="rId64" xr:uid="{F47ABC3B-4A76-494A-A254-7DB7B416A36F}"/>
    <hyperlink ref="M257" r:id="rId65" xr:uid="{D293D93D-EE9C-4681-A0B3-EA3FD9075CCA}"/>
    <hyperlink ref="M267" r:id="rId66" xr:uid="{72C3B789-C635-4443-B712-85C07A91FAA8}"/>
    <hyperlink ref="M263" r:id="rId67" xr:uid="{D7D2FE29-925F-4ABD-85B2-5BAB884DCD5C}"/>
    <hyperlink ref="M274" r:id="rId68" xr:uid="{D4768ED1-E2B9-499F-ABDF-196FF0F4E17C}"/>
    <hyperlink ref="M143" r:id="rId69" xr:uid="{835DFC51-34E0-4009-9F6F-D975A01BD471}"/>
    <hyperlink ref="M111" r:id="rId70" xr:uid="{8E7C414B-0059-4A0E-8D1D-2A9B7C0728DE}"/>
    <hyperlink ref="M181" r:id="rId71" xr:uid="{0D8CC028-FD61-41A9-81AF-7142671389F4}"/>
    <hyperlink ref="M180" r:id="rId72" xr:uid="{841D2243-7B01-41A6-95CF-3E108D27F605}"/>
    <hyperlink ref="M208" r:id="rId73" xr:uid="{F25114B2-CA2C-4FB9-9011-D43C4060A406}"/>
    <hyperlink ref="M276" r:id="rId74" xr:uid="{274BB0D2-898F-4CEC-82CC-374DB5923088}"/>
    <hyperlink ref="M240" r:id="rId75" xr:uid="{844328EC-C1C4-4CA1-98FE-E6CEF36E9B06}"/>
    <hyperlink ref="M165" r:id="rId76" xr:uid="{F4B18B95-793A-4881-AF52-99C5AEE0AB1C}"/>
    <hyperlink ref="M194" r:id="rId77" xr:uid="{BC924614-9EB0-46A3-9380-3B8E2994EE7F}"/>
    <hyperlink ref="M188" r:id="rId78" xr:uid="{B7709641-10B4-41FA-B0AE-ABE894D589F4}"/>
    <hyperlink ref="M106" r:id="rId79" xr:uid="{DEBD834D-91CC-48A2-AA4B-F494DB9D06E0}"/>
    <hyperlink ref="M30" r:id="rId80" xr:uid="{36BF34F9-8F47-42E6-A749-A4EBD39EDE5E}"/>
    <hyperlink ref="M45" r:id="rId81" xr:uid="{58F2D9D8-05C2-4815-B3EE-03DCF3BC42F8}"/>
    <hyperlink ref="M219" r:id="rId82" xr:uid="{235124E7-2535-4EAA-9071-83ED52DDF448}"/>
    <hyperlink ref="M63" r:id="rId83" xr:uid="{5351F730-CC80-425B-B5AE-A5021B9B58B0}"/>
    <hyperlink ref="M186" r:id="rId84" xr:uid="{210385CA-A430-43EF-AC2F-A345F4D332C0}"/>
    <hyperlink ref="M185" r:id="rId85" xr:uid="{033D53E2-E9EB-4611-A404-0F9143A2F3CB}"/>
    <hyperlink ref="M10" r:id="rId86" xr:uid="{4270E54A-756D-447F-B9EB-5D92FE369F80}"/>
    <hyperlink ref="M205" r:id="rId87" xr:uid="{0724801B-623C-4A5D-93F3-F33E1CE9D7DF}"/>
    <hyperlink ref="M22" r:id="rId88" xr:uid="{874BBC64-7AFA-43D8-A50F-DD8B609B8B1D}"/>
    <hyperlink ref="M62" r:id="rId89" xr:uid="{8C6DAC18-36E1-48B7-BCA4-B592BAB0DD2A}"/>
    <hyperlink ref="M14" r:id="rId90" xr:uid="{5FF3A696-7EB6-4AC1-9328-58AC67E63B2D}"/>
    <hyperlink ref="M13" r:id="rId91" xr:uid="{81E8CF4C-F8B4-4DAC-886C-7D5B83B768FB}"/>
    <hyperlink ref="M18" r:id="rId92" xr:uid="{BA517F86-AE9F-488E-A25F-DB922F41F3B0}"/>
    <hyperlink ref="M20" r:id="rId93" xr:uid="{AB2813C2-F1DF-418C-9937-C64921CE431D}"/>
    <hyperlink ref="M17" r:id="rId94" xr:uid="{EC7B6184-D67E-4001-8941-3890B9E279E6}"/>
    <hyperlink ref="M117" r:id="rId95" xr:uid="{7032F5C2-8129-460D-A791-317553C71D9B}"/>
    <hyperlink ref="M244" r:id="rId96" xr:uid="{DECCAADC-4315-48A6-9F49-2C22E9E39169}"/>
    <hyperlink ref="M261" r:id="rId97" xr:uid="{FB98D9D4-1662-423B-84CD-19C8BF0959D7}"/>
    <hyperlink ref="M114" r:id="rId98" xr:uid="{D18AD27B-2459-4B75-8575-E0FD49892EC0}"/>
    <hyperlink ref="M51" r:id="rId99" xr:uid="{B0D7F22E-3CD4-4DA5-95EB-B512CDE5FEC6}"/>
    <hyperlink ref="M19" r:id="rId100" xr:uid="{5285BCCC-327A-4D0D-B7D5-62A4A419BF1A}"/>
    <hyperlink ref="M183" r:id="rId101" xr:uid="{F6ED1A5E-3986-4307-ABF4-C937A4069240}"/>
    <hyperlink ref="M151" r:id="rId102" xr:uid="{973EDC3C-8557-4286-8055-1F1D54BF913C}"/>
    <hyperlink ref="M95" r:id="rId103" xr:uid="{BF3F657F-C763-485D-812E-6073988C24BF}"/>
    <hyperlink ref="M60" r:id="rId104" xr:uid="{48772BAE-E00E-4661-A1A7-3762C425083E}"/>
    <hyperlink ref="M109" r:id="rId105" xr:uid="{61723380-C581-4771-A42C-E00DCDA2006B}"/>
    <hyperlink ref="M100" r:id="rId106" xr:uid="{3C524A8E-486B-4967-99FC-DCD1953432AC}"/>
    <hyperlink ref="M169" r:id="rId107" xr:uid="{306D4AD6-D090-49C9-A4ED-93BF600092AE}"/>
    <hyperlink ref="M11" r:id="rId108" xr:uid="{58FD6B69-B17D-4005-9BD7-75BB9C407762}"/>
    <hyperlink ref="M118" r:id="rId109" xr:uid="{253EC31F-C398-4454-A8EB-B32CF4B9A318}"/>
    <hyperlink ref="M40" r:id="rId110" xr:uid="{646AFF0F-634C-4574-BD8D-182E6B150494}"/>
    <hyperlink ref="M64" r:id="rId111" xr:uid="{D87A5E67-EF94-4F77-A2DD-F44F7B532A80}"/>
    <hyperlink ref="M140" r:id="rId112" xr:uid="{6E4928A5-9E77-4EBC-A397-DA26005823A9}"/>
    <hyperlink ref="M139" r:id="rId113" xr:uid="{AB57993A-8375-4620-AD51-A8254CCCB704}"/>
    <hyperlink ref="M138" r:id="rId114" xr:uid="{AEFBFF1D-25C4-47B4-83AE-CFC54ED78028}"/>
    <hyperlink ref="M271" r:id="rId115" xr:uid="{70C7011E-BCE0-4E78-84D3-8A0995227304}"/>
    <hyperlink ref="M272" r:id="rId116" xr:uid="{44025F29-CBB0-4408-A1F3-94E55C441289}"/>
    <hyperlink ref="M89" r:id="rId117" xr:uid="{E9F6487E-6E39-4699-9A0F-6FA8A15D3709}"/>
    <hyperlink ref="M246" r:id="rId118" xr:uid="{47200EA7-DA59-4663-B81A-6086384DF33F}"/>
    <hyperlink ref="M72" r:id="rId119" xr:uid="{EC44F152-7F78-4F0B-B79F-0C27F04E43A2}"/>
    <hyperlink ref="M166" r:id="rId120" xr:uid="{746A4796-3944-48FB-BB4E-4D70D5125234}"/>
    <hyperlink ref="M31" r:id="rId121" xr:uid="{34320E67-EC9D-43FE-9FCA-98018C4A3DC1}"/>
    <hyperlink ref="M41" r:id="rId122" xr:uid="{E258A663-209F-478C-9BD7-F517E1DC8534}"/>
    <hyperlink ref="M46" r:id="rId123" xr:uid="{360AFB2C-12D3-4627-8911-AEED75C13511}"/>
    <hyperlink ref="M130" r:id="rId124" xr:uid="{03EC87C9-1695-4331-8883-B8BEF3B879D4}"/>
    <hyperlink ref="M250" r:id="rId125" xr:uid="{2BD1E6C6-D023-4977-945A-0B209863F597}"/>
    <hyperlink ref="M161" r:id="rId126" xr:uid="{140209FE-C63A-4B61-BF9D-90856CAB2E6A}"/>
    <hyperlink ref="M142" r:id="rId127" xr:uid="{E6808A31-3568-443A-8CA9-C19E7DE3CF87}"/>
    <hyperlink ref="M108" r:id="rId128" xr:uid="{C9C66A76-447D-4540-91B4-83334FB06ECC}"/>
    <hyperlink ref="M98" r:id="rId129" xr:uid="{58716EDC-A741-400B-929A-3FF56BF57BEF}"/>
    <hyperlink ref="M96" r:id="rId130" xr:uid="{2C62D470-456D-4CD9-8F3A-ACC637475681}"/>
    <hyperlink ref="M73" r:id="rId131" xr:uid="{5A93F63D-A359-4FFB-8496-307347B3E50D}"/>
    <hyperlink ref="M71" r:id="rId132" xr:uid="{4CE83822-4DBB-47A7-90A9-1F4CEB35791B}"/>
    <hyperlink ref="M66" r:id="rId133" xr:uid="{93154066-E18B-4284-9978-2F728EE314FE}"/>
    <hyperlink ref="M172" r:id="rId134" xr:uid="{AD2A0AA8-98B1-482D-862A-49AD92A5D85C}"/>
    <hyperlink ref="M193" r:id="rId135" xr:uid="{44A2C41E-FAAE-412F-914B-536AC31583FB}"/>
    <hyperlink ref="M149" r:id="rId136" xr:uid="{4902EB8E-9CEE-4F5F-B0F2-BF6467C09CFE}"/>
    <hyperlink ref="M150" r:id="rId137" xr:uid="{65787A1C-E7E6-48C5-BAC4-BD63E7033222}"/>
    <hyperlink ref="M132" r:id="rId138" xr:uid="{718EAC3E-39AB-4391-9E60-378389B9B16F}"/>
    <hyperlink ref="M107" r:id="rId139" xr:uid="{2E3093E0-E533-4ED8-B7E7-F16E0A3B968F}"/>
    <hyperlink ref="M67" r:id="rId140" xr:uid="{A491722B-4BDE-4D3E-9FBB-CC2BD46AE566}"/>
    <hyperlink ref="M220" r:id="rId141" xr:uid="{1110BAA7-F5DA-4E58-9937-6FA91281F66F}"/>
    <hyperlink ref="M173" r:id="rId142" xr:uid="{630E8AC9-5D15-4143-9E9E-3918186F6BD4}"/>
    <hyperlink ref="M237" r:id="rId143" xr:uid="{FCF20E42-C722-4C12-8641-37D3725D38FA}"/>
    <hyperlink ref="M234" r:id="rId144" xr:uid="{679AC0D4-1658-4835-8AED-581FC31EEBF1}"/>
    <hyperlink ref="M226" r:id="rId145" xr:uid="{89F9ADBE-06A5-472A-A77D-7EE379E79B4A}"/>
    <hyperlink ref="M227" r:id="rId146" xr:uid="{27E340D8-3744-48A2-B75E-999D35B94486}"/>
  </hyperlinks>
  <pageMargins left="0.7" right="0.7" top="0.75" bottom="0.75" header="0.3" footer="0.3"/>
  <legacyDrawing r:id="rId1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Medico</dc:creator>
  <cp:lastModifiedBy>Medico</cp:lastModifiedBy>
  <dcterms:created xsi:type="dcterms:W3CDTF">2025-12-08T17:10:37Z</dcterms:created>
  <dcterms:modified xsi:type="dcterms:W3CDTF">2025-12-08T17:28:25Z</dcterms:modified>
</cp:coreProperties>
</file>